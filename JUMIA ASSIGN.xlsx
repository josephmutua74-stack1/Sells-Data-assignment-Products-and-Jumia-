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5.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0.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8.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slicers/slicer6.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hidePivotFieldList="1"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A8E99EBF-82DD-4256-8B61-76093012D639}" xr6:coauthVersionLast="43" xr6:coauthVersionMax="43" xr10:uidLastSave="{00000000-0000-0000-0000-000000000000}"/>
  <bookViews>
    <workbookView xWindow="-108" yWindow="-108" windowWidth="23256" windowHeight="12576" firstSheet="16" activeTab="21" xr2:uid="{00000000-000D-0000-FFFF-FFFF00000000}"/>
  </bookViews>
  <sheets>
    <sheet name="Excel_jumia" sheetId="1" r:id="rId1"/>
    <sheet name="Avgs" sheetId="4" r:id="rId2"/>
    <sheet name="disc rating" sheetId="5" r:id="rId3"/>
    <sheet name="avg rating_disc_category" sheetId="6" r:id="rId4"/>
    <sheet name="prod rating" sheetId="8" r:id="rId5"/>
    <sheet name="Rev_disc" sheetId="10" r:id="rId6"/>
    <sheet name="Max disc" sheetId="11" r:id="rId7"/>
    <sheet name="Min disc" sheetId="13" r:id="rId8"/>
    <sheet name="most reviews" sheetId="15" r:id="rId9"/>
    <sheet name="Top reviews" sheetId="18" r:id="rId10"/>
    <sheet name="bottom revws" sheetId="19" r:id="rId11"/>
    <sheet name="High discount comparison" sheetId="20" r:id="rId12"/>
    <sheet name="most expen" sheetId="21" r:id="rId13"/>
    <sheet name="Least expe" sheetId="22" r:id="rId14"/>
    <sheet name="reviews_rating" sheetId="23" r:id="rId15"/>
    <sheet name="Disc+customer engagement" sheetId="25" r:id="rId16"/>
    <sheet name="Sheet26" sheetId="27" r:id="rId17"/>
    <sheet name="prod_rating" sheetId="28" r:id="rId18"/>
    <sheet name="prod_reviews" sheetId="29" r:id="rId19"/>
    <sheet name="Working sheet" sheetId="2" r:id="rId20"/>
    <sheet name="DASHBOARD" sheetId="26" r:id="rId21"/>
    <sheet name="Assumptions" sheetId="30" r:id="rId22"/>
  </sheets>
  <definedNames>
    <definedName name="_xlnm._FilterDatabase" localSheetId="0" hidden="1">Excel_jumia!$A$1:$A$116</definedName>
    <definedName name="_xlnm._FilterDatabase" localSheetId="19" hidden="1">'Working sheet'!$I$1:$I$116</definedName>
    <definedName name="_xlcn.WorksheetConnection_WorkingsheetA1M1101" hidden="1">'Working sheet'!$A$1:$M$110</definedName>
    <definedName name="Slicer_Discounts">#N/A</definedName>
    <definedName name="Slicer_Discounts1">#N/A</definedName>
    <definedName name="Slicer_Rating">#N/A</definedName>
    <definedName name="Slicer_Rating1">#N/A</definedName>
    <definedName name="Slicer_Rating2">#N/A</definedName>
  </definedNames>
  <calcPr calcId="181029"/>
  <pivotCaches>
    <pivotCache cacheId="25" r:id="rId23"/>
    <pivotCache cacheId="26" r:id="rId24"/>
    <pivotCache cacheId="27" r:id="rId25"/>
    <pivotCache cacheId="28" r:id="rId26"/>
    <pivotCache cacheId="29" r:id="rId27"/>
    <pivotCache cacheId="30" r:id="rId28"/>
    <pivotCache cacheId="31" r:id="rId29"/>
  </pivotCaches>
  <extLst>
    <ext xmlns:x14="http://schemas.microsoft.com/office/spreadsheetml/2009/9/main" uri="{876F7934-8845-4945-9796-88D515C7AA90}">
      <x14:pivotCaches>
        <pivotCache cacheId="32" r:id="rId30"/>
      </x14:pivotCaches>
    </ext>
    <ext xmlns:x14="http://schemas.microsoft.com/office/spreadsheetml/2009/9/main" uri="{BBE1A952-AA13-448e-AADC-164F8A28A991}">
      <x14:slicerCaches>
        <x14:slicerCache r:id="rId31"/>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Working sheet!$A$1:$M$110"/>
        </x15:modelTables>
      </x15:dataModel>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3" i="2" l="1"/>
  <c r="C2" i="2"/>
  <c r="M18" i="2"/>
  <c r="L3" i="2"/>
  <c r="L96" i="2"/>
  <c r="L31" i="2"/>
  <c r="L38" i="2"/>
  <c r="L51" i="2"/>
  <c r="L55" i="2"/>
  <c r="L100" i="2"/>
  <c r="L8" i="2"/>
  <c r="L22" i="2"/>
  <c r="L30" i="2"/>
  <c r="L39" i="2"/>
  <c r="L49" i="2"/>
  <c r="L54" i="2"/>
  <c r="L68" i="2"/>
  <c r="L85" i="2"/>
  <c r="L98" i="2"/>
  <c r="L109" i="2"/>
  <c r="L41" i="2"/>
  <c r="L69" i="2"/>
  <c r="L99" i="2"/>
  <c r="L4" i="2"/>
  <c r="L28" i="2"/>
  <c r="L73" i="2"/>
  <c r="L75" i="2"/>
  <c r="L81" i="2"/>
  <c r="L12" i="2"/>
  <c r="L42" i="2"/>
  <c r="L74" i="2"/>
  <c r="L50" i="2"/>
  <c r="L101" i="2"/>
  <c r="L15" i="2"/>
  <c r="L23" i="2"/>
  <c r="L52" i="2"/>
  <c r="L70" i="2"/>
  <c r="L78" i="2"/>
  <c r="L25" i="2"/>
  <c r="L84" i="2"/>
  <c r="L9" i="2"/>
  <c r="L102" i="2"/>
  <c r="L108" i="2"/>
  <c r="L76" i="2"/>
  <c r="L43" i="2"/>
  <c r="L32" i="2"/>
  <c r="L66" i="2"/>
  <c r="L77" i="2"/>
  <c r="L46" i="2"/>
  <c r="L104" i="2"/>
  <c r="L72" i="2"/>
  <c r="L40" i="2"/>
  <c r="L44" i="2"/>
  <c r="L57" i="2"/>
  <c r="L97" i="2"/>
  <c r="L103" i="2"/>
  <c r="E107" i="2"/>
  <c r="E93" i="2"/>
  <c r="E105" i="2"/>
  <c r="E63" i="2"/>
  <c r="E34" i="2"/>
  <c r="E3" i="2"/>
  <c r="E79" i="2"/>
  <c r="E47" i="2"/>
  <c r="E27" i="2"/>
  <c r="E60" i="2"/>
  <c r="E21" i="2"/>
  <c r="E62" i="2"/>
  <c r="E36" i="2"/>
  <c r="E10" i="2"/>
  <c r="E89" i="2"/>
  <c r="E58" i="2"/>
  <c r="E13" i="2"/>
  <c r="E5" i="2"/>
  <c r="E19" i="2"/>
  <c r="E83" i="2"/>
  <c r="E20" i="2"/>
  <c r="E65" i="2"/>
  <c r="E33" i="2"/>
  <c r="E90" i="2"/>
  <c r="E106" i="2"/>
  <c r="E24" i="2"/>
  <c r="E17" i="2"/>
  <c r="E29" i="2"/>
  <c r="E26" i="2"/>
  <c r="E80" i="2"/>
  <c r="E71" i="2"/>
  <c r="E6" i="2"/>
  <c r="E67" i="2"/>
  <c r="E61" i="2"/>
  <c r="E94" i="2"/>
  <c r="E45" i="2"/>
  <c r="E7" i="2"/>
  <c r="E35" i="2"/>
  <c r="E110" i="2"/>
  <c r="E86" i="2"/>
  <c r="E2" i="2"/>
  <c r="E11" i="2"/>
  <c r="E82" i="2"/>
  <c r="E53" i="2"/>
  <c r="E48" i="2"/>
  <c r="E88" i="2"/>
  <c r="E95" i="2"/>
  <c r="E91" i="2"/>
  <c r="E14" i="2"/>
  <c r="E56" i="2"/>
  <c r="E92" i="2"/>
  <c r="E59" i="2"/>
  <c r="E64" i="2"/>
  <c r="E16" i="2"/>
  <c r="E37" i="2"/>
  <c r="E87" i="2"/>
  <c r="E96" i="2"/>
  <c r="E31" i="2"/>
  <c r="E38" i="2"/>
  <c r="E51" i="2"/>
  <c r="E55" i="2"/>
  <c r="E100" i="2"/>
  <c r="E8" i="2"/>
  <c r="E22" i="2"/>
  <c r="E30" i="2"/>
  <c r="E39" i="2"/>
  <c r="E49" i="2"/>
  <c r="E54" i="2"/>
  <c r="E68" i="2"/>
  <c r="E85" i="2"/>
  <c r="E98" i="2"/>
  <c r="E109" i="2"/>
  <c r="E41" i="2"/>
  <c r="E69" i="2"/>
  <c r="E99" i="2"/>
  <c r="E4" i="2"/>
  <c r="E28" i="2"/>
  <c r="E73" i="2"/>
  <c r="E75" i="2"/>
  <c r="E81" i="2"/>
  <c r="E12" i="2"/>
  <c r="E42" i="2"/>
  <c r="E74" i="2"/>
  <c r="E50" i="2"/>
  <c r="E101" i="2"/>
  <c r="E15" i="2"/>
  <c r="E23" i="2"/>
  <c r="E52" i="2"/>
  <c r="E70" i="2"/>
  <c r="E78" i="2"/>
  <c r="E25" i="2"/>
  <c r="E84" i="2"/>
  <c r="E9" i="2"/>
  <c r="E102" i="2"/>
  <c r="E108" i="2"/>
  <c r="E76" i="2"/>
  <c r="E43" i="2"/>
  <c r="E32" i="2"/>
  <c r="E66" i="2"/>
  <c r="E77" i="2"/>
  <c r="E46" i="2"/>
  <c r="E104" i="2"/>
  <c r="E72" i="2"/>
  <c r="E40" i="2"/>
  <c r="E44" i="2"/>
  <c r="E57" i="2"/>
  <c r="E97" i="2"/>
  <c r="E103" i="2"/>
  <c r="E18" i="2"/>
  <c r="H103" i="2"/>
  <c r="H97" i="2"/>
  <c r="H57" i="2"/>
  <c r="H44" i="2"/>
  <c r="H40" i="2"/>
  <c r="H72" i="2"/>
  <c r="H104" i="2"/>
  <c r="H46" i="2"/>
  <c r="H77" i="2"/>
  <c r="H66" i="2"/>
  <c r="H32" i="2"/>
  <c r="H52" i="2"/>
  <c r="H73" i="2"/>
  <c r="H54" i="2"/>
  <c r="H31" i="2"/>
  <c r="H91" i="2"/>
  <c r="H35" i="2"/>
  <c r="H29" i="2"/>
  <c r="H5" i="2"/>
  <c r="H47" i="2"/>
  <c r="H107" i="2"/>
  <c r="H93" i="2"/>
  <c r="H105" i="2"/>
  <c r="H63" i="2"/>
  <c r="H34" i="2"/>
  <c r="H3" i="2"/>
  <c r="H79" i="2"/>
  <c r="H27" i="2"/>
  <c r="H60" i="2"/>
  <c r="H21" i="2"/>
  <c r="H62" i="2"/>
  <c r="H36" i="2"/>
  <c r="H10" i="2"/>
  <c r="H89" i="2"/>
  <c r="H58" i="2"/>
  <c r="H13" i="2"/>
  <c r="H19" i="2"/>
  <c r="H83" i="2"/>
  <c r="H20" i="2"/>
  <c r="H65" i="2"/>
  <c r="H33" i="2"/>
  <c r="H90" i="2"/>
  <c r="H106" i="2"/>
  <c r="H24" i="2"/>
  <c r="H17" i="2"/>
  <c r="H26" i="2"/>
  <c r="H80" i="2"/>
  <c r="H71" i="2"/>
  <c r="H6" i="2"/>
  <c r="H67" i="2"/>
  <c r="H61" i="2"/>
  <c r="H94" i="2"/>
  <c r="H45" i="2"/>
  <c r="H7" i="2"/>
  <c r="H110" i="2"/>
  <c r="H86" i="2"/>
  <c r="H2" i="2"/>
  <c r="H11" i="2"/>
  <c r="H82" i="2"/>
  <c r="H53" i="2"/>
  <c r="H48" i="2"/>
  <c r="H88" i="2"/>
  <c r="H95" i="2"/>
  <c r="H14" i="2"/>
  <c r="H56" i="2"/>
  <c r="H92" i="2"/>
  <c r="H59" i="2"/>
  <c r="H64" i="2"/>
  <c r="H16" i="2"/>
  <c r="H37" i="2"/>
  <c r="H87" i="2"/>
  <c r="H96" i="2"/>
  <c r="H38" i="2"/>
  <c r="H51" i="2"/>
  <c r="H55" i="2"/>
  <c r="H100" i="2"/>
  <c r="H8" i="2"/>
  <c r="H22" i="2"/>
  <c r="H30" i="2"/>
  <c r="H39" i="2"/>
  <c r="H49" i="2"/>
  <c r="H68" i="2"/>
  <c r="H85" i="2"/>
  <c r="H98" i="2"/>
  <c r="H109" i="2"/>
  <c r="H41" i="2"/>
  <c r="H69" i="2"/>
  <c r="H99" i="2"/>
  <c r="H4" i="2"/>
  <c r="H28" i="2"/>
  <c r="H75" i="2"/>
  <c r="H81" i="2"/>
  <c r="H12" i="2"/>
  <c r="H42" i="2"/>
  <c r="H74" i="2"/>
  <c r="H50" i="2"/>
  <c r="H101" i="2"/>
  <c r="H15" i="2"/>
  <c r="H23" i="2"/>
  <c r="H70" i="2"/>
  <c r="H78" i="2"/>
  <c r="H25" i="2"/>
  <c r="H84" i="2"/>
  <c r="H9" i="2"/>
  <c r="H102" i="2"/>
  <c r="H108" i="2"/>
  <c r="H76" i="2"/>
  <c r="H43" i="2"/>
  <c r="M103" i="2"/>
  <c r="K103" i="2"/>
  <c r="M97" i="2"/>
  <c r="K97" i="2"/>
  <c r="M57" i="2"/>
  <c r="K57" i="2"/>
  <c r="M44" i="2"/>
  <c r="K44" i="2"/>
  <c r="M40" i="2"/>
  <c r="K40" i="2"/>
  <c r="M72" i="2"/>
  <c r="K72" i="2"/>
  <c r="M104" i="2"/>
  <c r="K104" i="2"/>
  <c r="M46" i="2"/>
  <c r="K46" i="2"/>
  <c r="M77" i="2"/>
  <c r="K77" i="2"/>
  <c r="M66" i="2"/>
  <c r="K66" i="2"/>
  <c r="M32" i="2"/>
  <c r="K32" i="2"/>
  <c r="M43" i="2"/>
  <c r="M76" i="2"/>
  <c r="M108" i="2"/>
  <c r="M102" i="2"/>
  <c r="M9" i="2"/>
  <c r="M84" i="2"/>
  <c r="M25" i="2"/>
  <c r="M78" i="2"/>
  <c r="M70" i="2"/>
  <c r="M52" i="2"/>
  <c r="K52" i="2"/>
  <c r="M23" i="2"/>
  <c r="M15" i="2"/>
  <c r="M101" i="2"/>
  <c r="M50" i="2"/>
  <c r="M74" i="2"/>
  <c r="M42" i="2"/>
  <c r="M12" i="2"/>
  <c r="M81" i="2"/>
  <c r="M75" i="2"/>
  <c r="M73" i="2"/>
  <c r="K73" i="2"/>
  <c r="M28" i="2"/>
  <c r="M4" i="2"/>
  <c r="M99" i="2"/>
  <c r="M69" i="2"/>
  <c r="M41" i="2"/>
  <c r="M109" i="2"/>
  <c r="M98" i="2"/>
  <c r="M85" i="2"/>
  <c r="M68" i="2"/>
  <c r="M54" i="2"/>
  <c r="K54" i="2"/>
  <c r="M49" i="2"/>
  <c r="M39" i="2"/>
  <c r="M30" i="2"/>
  <c r="M22" i="2"/>
  <c r="M8" i="2"/>
  <c r="M100" i="2"/>
  <c r="M55" i="2"/>
  <c r="M51" i="2"/>
  <c r="M38" i="2"/>
  <c r="M31" i="2"/>
  <c r="K31" i="2"/>
  <c r="M96" i="2"/>
  <c r="M87" i="2"/>
  <c r="M37" i="2"/>
  <c r="M16" i="2"/>
  <c r="M64" i="2"/>
  <c r="M59" i="2"/>
  <c r="M92" i="2"/>
  <c r="M56" i="2"/>
  <c r="M14" i="2"/>
  <c r="M91" i="2"/>
  <c r="K91" i="2"/>
  <c r="J91" i="2"/>
  <c r="L91" i="2" s="1"/>
  <c r="M95" i="2"/>
  <c r="M88" i="2"/>
  <c r="M48" i="2"/>
  <c r="M53" i="2"/>
  <c r="M82" i="2"/>
  <c r="M11" i="2"/>
  <c r="M2" i="2"/>
  <c r="M86" i="2"/>
  <c r="M110" i="2"/>
  <c r="M35" i="2"/>
  <c r="K35" i="2"/>
  <c r="J35" i="2"/>
  <c r="L35" i="2" s="1"/>
  <c r="M7" i="2"/>
  <c r="M45" i="2"/>
  <c r="M94" i="2"/>
  <c r="M61" i="2"/>
  <c r="M67" i="2"/>
  <c r="M6" i="2"/>
  <c r="M71" i="2"/>
  <c r="M80" i="2"/>
  <c r="M26" i="2"/>
  <c r="M29" i="2"/>
  <c r="K29" i="2"/>
  <c r="J29" i="2"/>
  <c r="L29" i="2" s="1"/>
  <c r="M17" i="2"/>
  <c r="M24" i="2"/>
  <c r="M106" i="2"/>
  <c r="M90" i="2"/>
  <c r="M33" i="2"/>
  <c r="M65" i="2"/>
  <c r="M20" i="2"/>
  <c r="M83" i="2"/>
  <c r="M19" i="2"/>
  <c r="M5" i="2"/>
  <c r="K5" i="2"/>
  <c r="J5" i="2"/>
  <c r="L5" i="2" s="1"/>
  <c r="M13" i="2"/>
  <c r="M58" i="2"/>
  <c r="M89" i="2"/>
  <c r="M10" i="2"/>
  <c r="M36" i="2"/>
  <c r="M62" i="2"/>
  <c r="M21" i="2"/>
  <c r="M60" i="2"/>
  <c r="M27" i="2"/>
  <c r="M47" i="2"/>
  <c r="K47" i="2"/>
  <c r="J47" i="2"/>
  <c r="L47" i="2" s="1"/>
  <c r="M79" i="2"/>
  <c r="M3" i="2"/>
  <c r="M34" i="2"/>
  <c r="M63" i="2"/>
  <c r="M105" i="2"/>
  <c r="M93" i="2"/>
  <c r="M107" i="2"/>
  <c r="K80" i="2"/>
  <c r="K13" i="2"/>
  <c r="K36" i="2"/>
  <c r="K27" i="2"/>
  <c r="K6" i="2"/>
  <c r="K10" i="2"/>
  <c r="K61" i="2"/>
  <c r="K71" i="2"/>
  <c r="K60" i="2"/>
  <c r="K79" i="2"/>
  <c r="K83" i="2"/>
  <c r="K93" i="2"/>
  <c r="K105" i="2"/>
  <c r="K18" i="2"/>
  <c r="K58" i="2"/>
  <c r="K110" i="2"/>
  <c r="K23" i="2"/>
  <c r="K67" i="2"/>
  <c r="K33" i="2"/>
  <c r="K17" i="2"/>
  <c r="K89" i="2"/>
  <c r="K7" i="2"/>
  <c r="K45" i="2"/>
  <c r="K26" i="2"/>
  <c r="K12" i="2"/>
  <c r="K106" i="2"/>
  <c r="K62" i="2"/>
  <c r="K24" i="2"/>
  <c r="K21" i="2"/>
  <c r="K19" i="2"/>
  <c r="K34" i="2"/>
  <c r="K107" i="2"/>
  <c r="K90" i="2"/>
  <c r="K20" i="2"/>
  <c r="K9" i="2"/>
  <c r="K85" i="2"/>
  <c r="K100" i="2"/>
  <c r="K78" i="2"/>
  <c r="K15" i="2"/>
  <c r="K51" i="2"/>
  <c r="K76" i="2"/>
  <c r="K49" i="2"/>
  <c r="K102" i="2"/>
  <c r="K96" i="2"/>
  <c r="K43" i="2"/>
  <c r="K84" i="2"/>
  <c r="K74" i="2"/>
  <c r="K69" i="2"/>
  <c r="K8" i="2"/>
  <c r="K14" i="2"/>
  <c r="K86" i="2"/>
  <c r="K16" i="2"/>
  <c r="K88" i="2"/>
  <c r="K95" i="2"/>
  <c r="K48" i="2"/>
  <c r="K59" i="2"/>
  <c r="K56" i="2"/>
  <c r="K2" i="2"/>
  <c r="K11" i="2"/>
  <c r="K92" i="2"/>
  <c r="K82" i="2"/>
  <c r="K64" i="2"/>
  <c r="K37" i="2"/>
  <c r="K75" i="2"/>
  <c r="K28" i="2"/>
  <c r="K101" i="2"/>
  <c r="K53" i="2"/>
  <c r="K63" i="2"/>
  <c r="K42" i="2"/>
  <c r="K30" i="2"/>
  <c r="K94" i="2"/>
  <c r="K98" i="2"/>
  <c r="K70" i="2"/>
  <c r="K39" i="2"/>
  <c r="K68" i="2"/>
  <c r="K109" i="2"/>
  <c r="K50" i="2"/>
  <c r="K38" i="2"/>
  <c r="K41" i="2"/>
  <c r="K99" i="2"/>
  <c r="K4" i="2"/>
  <c r="K81" i="2"/>
  <c r="K55" i="2"/>
  <c r="K3" i="2"/>
  <c r="K22" i="2"/>
  <c r="K25" i="2"/>
  <c r="K87" i="2"/>
  <c r="K108" i="2"/>
  <c r="K65" i="2"/>
  <c r="H18" i="2"/>
  <c r="J80" i="2"/>
  <c r="L80" i="2" s="1"/>
  <c r="J13" i="2"/>
  <c r="L13" i="2" s="1"/>
  <c r="J36" i="2"/>
  <c r="L36" i="2" s="1"/>
  <c r="J27" i="2"/>
  <c r="L27" i="2" s="1"/>
  <c r="J6" i="2"/>
  <c r="L6" i="2" s="1"/>
  <c r="J10" i="2"/>
  <c r="L10" i="2" s="1"/>
  <c r="J61" i="2"/>
  <c r="L61" i="2" s="1"/>
  <c r="J71" i="2"/>
  <c r="L71" i="2" s="1"/>
  <c r="J60" i="2"/>
  <c r="L60" i="2" s="1"/>
  <c r="J79" i="2"/>
  <c r="L79" i="2" s="1"/>
  <c r="J83" i="2"/>
  <c r="L83" i="2" s="1"/>
  <c r="J93" i="2"/>
  <c r="L93" i="2" s="1"/>
  <c r="J105" i="2"/>
  <c r="L105" i="2" s="1"/>
  <c r="J18" i="2"/>
  <c r="L18" i="2" s="1"/>
  <c r="J58" i="2"/>
  <c r="L58" i="2" s="1"/>
  <c r="J110" i="2"/>
  <c r="L110" i="2" s="1"/>
  <c r="J67" i="2"/>
  <c r="L67" i="2" s="1"/>
  <c r="J33" i="2"/>
  <c r="L33" i="2" s="1"/>
  <c r="J17" i="2"/>
  <c r="L17" i="2" s="1"/>
  <c r="J89" i="2"/>
  <c r="L89" i="2" s="1"/>
  <c r="J7" i="2"/>
  <c r="L7" i="2" s="1"/>
  <c r="J45" i="2"/>
  <c r="L45" i="2" s="1"/>
  <c r="J26" i="2"/>
  <c r="L26" i="2" s="1"/>
  <c r="J106" i="2"/>
  <c r="L106" i="2" s="1"/>
  <c r="J62" i="2"/>
  <c r="L62" i="2" s="1"/>
  <c r="J24" i="2"/>
  <c r="L24" i="2" s="1"/>
  <c r="J21" i="2"/>
  <c r="L21" i="2" s="1"/>
  <c r="J19" i="2"/>
  <c r="L19" i="2" s="1"/>
  <c r="J34" i="2"/>
  <c r="L34" i="2" s="1"/>
  <c r="J107" i="2"/>
  <c r="L107" i="2" s="1"/>
  <c r="J90" i="2"/>
  <c r="L90" i="2" s="1"/>
  <c r="J20" i="2"/>
  <c r="L20" i="2" s="1"/>
  <c r="J14" i="2"/>
  <c r="L14" i="2" s="1"/>
  <c r="J86" i="2"/>
  <c r="L86" i="2" s="1"/>
  <c r="J16" i="2"/>
  <c r="L16" i="2" s="1"/>
  <c r="J88" i="2"/>
  <c r="L88" i="2" s="1"/>
  <c r="J95" i="2"/>
  <c r="L95" i="2" s="1"/>
  <c r="J48" i="2"/>
  <c r="L48" i="2" s="1"/>
  <c r="J59" i="2"/>
  <c r="L59" i="2" s="1"/>
  <c r="J56" i="2"/>
  <c r="L56" i="2" s="1"/>
  <c r="J2" i="2"/>
  <c r="L2" i="2" s="1"/>
  <c r="J11" i="2"/>
  <c r="L11" i="2" s="1"/>
  <c r="J92" i="2"/>
  <c r="L92" i="2" s="1"/>
  <c r="J82" i="2"/>
  <c r="L82" i="2" s="1"/>
  <c r="J64" i="2"/>
  <c r="L64" i="2" s="1"/>
  <c r="J37" i="2"/>
  <c r="L37" i="2" s="1"/>
  <c r="J53" i="2"/>
  <c r="L53" i="2" s="1"/>
  <c r="J63" i="2"/>
  <c r="L63" i="2" s="1"/>
  <c r="J94" i="2"/>
  <c r="L94" i="2" s="1"/>
  <c r="J87" i="2"/>
  <c r="L87" i="2" s="1"/>
  <c r="J65" i="2"/>
  <c r="L65"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Working sheet!$A$1:$M$110" type="102" refreshedVersion="6" minRefreshableVersion="5">
    <extLst>
      <ext xmlns:x15="http://schemas.microsoft.com/office/spreadsheetml/2010/11/main" uri="{DE250136-89BD-433C-8126-D09CA5730AF9}">
        <x15:connection id="Range" autoDelete="1">
          <x15:rangePr sourceName="_xlcn.WorksheetConnection_WorkingsheetA1M1101"/>
        </x15:connection>
      </ext>
    </extLst>
  </connection>
</connections>
</file>

<file path=xl/sharedStrings.xml><?xml version="1.0" encoding="utf-8"?>
<sst xmlns="http://schemas.openxmlformats.org/spreadsheetml/2006/main" count="752" uniqueCount="367">
  <si>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</si>
  <si>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</si>
  <si>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</si>
  <si>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</si>
  <si>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</si>
  <si>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</si>
  <si>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</si>
  <si>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</si>
  <si>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</si>
  <si>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</si>
  <si>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</si>
  <si>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</si>
  <si>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</si>
  <si>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</si>
  <si>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</si>
  <si>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</si>
  <si>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</si>
  <si>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</si>
  <si>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</si>
  <si>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</si>
  <si>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</si>
  <si>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</si>
  <si>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</si>
  <si>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</si>
  <si>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</si>
  <si>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</si>
  <si>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</si>
  <si>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</si>
  <si>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</si>
  <si>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</si>
  <si>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</si>
  <si>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</si>
  <si>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</si>
  <si>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</si>
  <si>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</si>
  <si>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</si>
  <si>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</si>
  <si>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</si>
  <si>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</si>
  <si>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</si>
  <si>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</si>
  <si>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</si>
  <si>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</si>
  <si>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</si>
  <si>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</si>
  <si>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</si>
  <si>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</si>
  <si>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</si>
  <si>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</si>
  <si>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</si>
  <si>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</si>
  <si>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</si>
  <si>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</si>
  <si>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</si>
  <si>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</si>
  <si>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</si>
  <si>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</si>
  <si>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</si>
  <si>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</si>
  <si>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</si>
  <si>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</si>
  <si>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</si>
  <si>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</si>
  <si>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</si>
  <si>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</si>
  <si>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</si>
  <si>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</si>
  <si>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</si>
  <si>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</si>
  <si>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</si>
  <si>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</si>
  <si>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</si>
  <si>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</si>
  <si>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</si>
  <si>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</si>
  <si>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</si>
  <si>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</si>
  <si>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</si>
  <si>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</si>
  <si>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</si>
  <si>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</si>
  <si>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</si>
  <si>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</si>
  <si>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</si>
  <si>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</si>
  <si>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</si>
  <si>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</si>
  <si>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</si>
  <si>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</si>
  <si>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</si>
  <si>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</si>
  <si>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</si>
  <si>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</si>
  <si>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</si>
  <si>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</si>
  <si>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</si>
  <si>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</si>
  <si>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</si>
  <si>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</si>
  <si>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</si>
  <si>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</si>
  <si>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</si>
  <si>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</si>
  <si>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</si>
  <si>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</si>
  <si>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</si>
  <si>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</si>
  <si>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</si>
  <si>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</si>
  <si>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</si>
  <si>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</si>
  <si>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</si>
  <si>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</si>
  <si>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</si>
  <si>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</si>
  <si>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</si>
  <si>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</si>
  <si>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</si>
  <si>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</si>
  <si>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</si>
  <si>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</si>
  <si>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</si>
  <si>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</si>
  <si>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</si>
  <si>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</si>
  <si>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</si>
  <si>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</si>
  <si>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</si>
  <si>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</si>
  <si>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</si>
  <si>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</si>
  <si>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</si>
  <si>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</si>
  <si>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</si>
  <si>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</si>
  <si>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</si>
  <si>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</si>
  <si>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</si>
  <si>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</si>
  <si>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</si>
  <si>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</si>
  <si>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</si>
  <si>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</si>
  <si>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</si>
  <si>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</si>
  <si>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</si>
  <si>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</si>
  <si>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</si>
  <si>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</si>
  <si>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</si>
  <si>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</si>
  <si>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</si>
  <si>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</si>
  <si>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</si>
  <si>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</si>
  <si>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</si>
  <si>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</si>
  <si>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</si>
  <si>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</si>
  <si>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</si>
  <si>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</si>
  <si>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</si>
  <si>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</si>
  <si>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</si>
  <si>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</si>
  <si>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</si>
  <si>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</si>
  <si>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</si>
  <si>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</si>
  <si>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</si>
  <si>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</si>
  <si>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</si>
  <si>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</si>
  <si>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</si>
  <si>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</si>
  <si>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</si>
  <si>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</si>
  <si>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</si>
  <si>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</si>
  <si>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</si>
  <si>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</si>
  <si>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</si>
  <si>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</si>
  <si>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</si>
  <si>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</si>
  <si>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</si>
  <si>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</si>
  <si>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</si>
  <si>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</si>
  <si>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</si>
  <si>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</si>
  <si>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</si>
  <si>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</si>
  <si>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</si>
  <si>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</si>
  <si>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</si>
  <si>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</si>
  <si>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</si>
  <si>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</si>
  <si>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</si>
  <si>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</si>
  <si>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</si>
  <si>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</si>
  <si>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</si>
  <si>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</si>
  <si>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</si>
  <si>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</si>
  <si>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</si>
  <si>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</si>
  <si>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</si>
  <si>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</si>
  <si>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</si>
  <si>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</si>
  <si>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</si>
  <si>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</si>
  <si>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</si>
  <si>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</si>
  <si>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</si>
  <si>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</si>
  <si>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</si>
  <si>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</si>
  <si>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</si>
  <si>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</si>
  <si>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</si>
  <si>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</si>
  <si>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</si>
  <si>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</si>
  <si>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</si>
  <si>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</si>
  <si>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</si>
  <si>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</si>
  <si>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</si>
  <si>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</si>
  <si>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</si>
  <si>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</si>
  <si>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</si>
  <si>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</si>
  <si>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</si>
  <si>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</si>
  <si>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</si>
  <si>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</si>
  <si>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</si>
  <si>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</si>
  <si>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</si>
  <si>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</si>
  <si>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</si>
  <si>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</si>
  <si>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</si>
  <si>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</si>
  <si>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</si>
  <si>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</si>
  <si>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</si>
  <si>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</si>
  <si>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</si>
  <si>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</si>
  <si>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</si>
  <si>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</si>
  <si>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</si>
  <si>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</si>
  <si>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</si>
  <si>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</si>
  <si>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</si>
  <si>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</si>
  <si>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</si>
  <si>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</si>
  <si>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</si>
  <si>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</si>
  <si>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</si>
  <si>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</si>
  <si>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</si>
  <si>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</si>
  <si>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</si>
  <si>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</si>
  <si>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</si>
  <si>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</si>
  <si>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</si>
  <si>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</si>
  <si>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</si>
  <si>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</si>
  <si>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</si>
  <si>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</si>
  <si>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</si>
  <si>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</si>
  <si>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</si>
  <si>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</si>
  <si>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</si>
  <si>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</si>
  <si>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</si>
  <si>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</si>
  <si>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</si>
  <si>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</si>
  <si>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</si>
  <si>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</si>
  <si>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</si>
  <si>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</si>
  <si>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</si>
  <si>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</si>
  <si>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</si>
  <si>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</si>
  <si>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</si>
  <si>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</si>
  <si>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</si>
  <si>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</si>
  <si>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</si>
  <si>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</si>
  <si>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</si>
  <si>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</si>
  <si>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</si>
  <si>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</si>
  <si>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</si>
  <si>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</si>
  <si>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</si>
  <si>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</si>
  <si>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</si>
  <si>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</si>
  <si>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</si>
  <si>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</si>
  <si>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</si>
  <si>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</si>
  <si>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</si>
  <si>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</si>
  <si>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</si>
  <si>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</si>
  <si>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 xml:space="preserve"> Reviewspos</t>
  </si>
  <si>
    <t>Discounted price</t>
  </si>
  <si>
    <t>Rating</t>
  </si>
  <si>
    <t>Discounts</t>
  </si>
  <si>
    <t>Row Labels</t>
  </si>
  <si>
    <t>(blank)</t>
  </si>
  <si>
    <t>Grand Total</t>
  </si>
  <si>
    <t>Sum of Discount</t>
  </si>
  <si>
    <t>Average of Discount</t>
  </si>
  <si>
    <t>Average of Current price</t>
  </si>
  <si>
    <t>Average of old price</t>
  </si>
  <si>
    <t>#VALUE!</t>
  </si>
  <si>
    <t>Average of C-Ratings</t>
  </si>
  <si>
    <t>Column Labels</t>
  </si>
  <si>
    <t>disc pc</t>
  </si>
  <si>
    <t>high</t>
  </si>
  <si>
    <t>Low</t>
  </si>
  <si>
    <t>Medium</t>
  </si>
  <si>
    <t>Excellent</t>
  </si>
  <si>
    <t>Average</t>
  </si>
  <si>
    <t>poor</t>
  </si>
  <si>
    <t>Sum of  Reviewspos</t>
  </si>
  <si>
    <t>Correct-Ratings</t>
  </si>
  <si>
    <t>Max of Discount</t>
  </si>
  <si>
    <t>Min/Max</t>
  </si>
  <si>
    <t>Max of Reviewspos</t>
  </si>
  <si>
    <t>Max of Correct-Ratings</t>
  </si>
  <si>
    <t>Max of Current price</t>
  </si>
  <si>
    <t>Count of Product</t>
  </si>
  <si>
    <t>Average of  Reviewspos</t>
  </si>
  <si>
    <t>conclusion from data</t>
  </si>
  <si>
    <t>Therefore, high discount does not mean higher reviews,</t>
  </si>
  <si>
    <t>From the data medium doscounted products have highest reviews</t>
  </si>
  <si>
    <t>Average of Correct-Ratings</t>
  </si>
  <si>
    <t>Sum of C-Ratings</t>
  </si>
  <si>
    <t>Max of  Reviewspos</t>
  </si>
  <si>
    <t xml:space="preserve"> Identify and remove duplicate product entries</t>
  </si>
  <si>
    <t xml:space="preserve">Check for and handle missing values, especially in the Reviews and Rating columns </t>
  </si>
  <si>
    <t>The dataset was examined for missing values, with particular attention to the Reviews and Rating columns, as these are critical for evaluating product performance and customer reviews. i corrected the missing values with unknown values, and missing</t>
  </si>
  <si>
    <t xml:space="preserve">I checked for duplicates and highlighted using conditional formatting to compare duplicates and the deleted them. </t>
  </si>
  <si>
    <t>I then added 2 columns for rating category and discount category</t>
  </si>
  <si>
    <t>I then dived straight into analysis, looking at different trends in the data to draw conclusions, including sales and product performance and customer behaviour</t>
  </si>
  <si>
    <t>lastly I created working dashboard with a few insights from the data suing charts.</t>
  </si>
  <si>
    <t>Key insights from the sales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</si>
</sst>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Ksh&quot;#,##0.00"/>
    <numFmt numFmtId="165"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4"/>
      <color theme="1"/>
      <name val="Calibri"/>
      <family val="2"/>
      <scheme val="minor"/>
    </font>
    <font>
      <b/>
      <sz val="12"/>
      <color theme="1"/>
      <name val="Calibri"/>
      <family val="2"/>
      <scheme val="minor"/>
    </font>
    <font>
      <sz val="12"/>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9" fontId="0" fillId="0" borderId="0" xfId="0" applyNumberFormat="1"/>
    <xf numFmtId="0" fontId="16" fillId="0" borderId="0" xfId="0" applyFont="1"/>
    <xf numFmtId="2" fontId="16" fillId="0" borderId="0" xfId="0" applyNumberFormat="1" applyFont="1" applyAlignment="1">
      <alignment horizontal="left"/>
    </xf>
    <xf numFmtId="2" fontId="0" fillId="0" borderId="0" xfId="0" applyNumberFormat="1" applyAlignment="1">
      <alignment horizontal="left"/>
    </xf>
    <xf numFmtId="0" fontId="0" fillId="0" borderId="0" xfId="0" applyAlignment="1">
      <alignment horizontal="left"/>
    </xf>
    <xf numFmtId="10" fontId="16" fillId="0" borderId="0" xfId="0" applyNumberFormat="1" applyFont="1"/>
    <xf numFmtId="10" fontId="0" fillId="0" borderId="0" xfId="0" applyNumberFormat="1"/>
    <xf numFmtId="9" fontId="0" fillId="0" borderId="0" xfId="1" applyFont="1"/>
    <xf numFmtId="0" fontId="16" fillId="33" borderId="0" xfId="0" applyFont="1" applyFill="1"/>
    <xf numFmtId="0" fontId="0" fillId="0" borderId="0" xfId="0" pivotButton="1"/>
    <xf numFmtId="0" fontId="0" fillId="0" borderId="0" xfId="0" applyNumberFormat="1"/>
    <xf numFmtId="164" fontId="16" fillId="0" borderId="0" xfId="0" applyNumberFormat="1" applyFont="1" applyAlignment="1">
      <alignment horizontal="left"/>
    </xf>
    <xf numFmtId="164" fontId="0" fillId="0" borderId="0" xfId="0" applyNumberFormat="1" applyAlignment="1">
      <alignment horizontal="left"/>
    </xf>
    <xf numFmtId="4" fontId="0" fillId="0" borderId="0" xfId="0" applyNumberFormat="1" applyAlignment="1">
      <alignment horizontal="left"/>
    </xf>
    <xf numFmtId="9" fontId="16" fillId="0" borderId="0" xfId="1" applyFont="1" applyAlignment="1">
      <alignment horizontal="left"/>
    </xf>
    <xf numFmtId="9" fontId="0" fillId="0" borderId="0" xfId="1" applyFont="1" applyAlignment="1">
      <alignment horizontal="left"/>
    </xf>
    <xf numFmtId="165" fontId="16" fillId="0" borderId="0" xfId="0" applyNumberFormat="1" applyFont="1"/>
    <xf numFmtId="165" fontId="0" fillId="0" borderId="0" xfId="0" applyNumberFormat="1"/>
    <xf numFmtId="0" fontId="0" fillId="0" borderId="0" xfId="0" applyAlignment="1">
      <alignment wrapText="1"/>
    </xf>
    <xf numFmtId="0" fontId="19" fillId="0" borderId="0" xfId="0" applyFont="1" applyAlignment="1">
      <alignment wrapText="1"/>
    </xf>
    <xf numFmtId="0" fontId="0" fillId="34" borderId="0" xfId="0" applyFill="1" applyAlignment="1">
      <alignment wrapText="1"/>
    </xf>
    <xf numFmtId="0" fontId="0" fillId="34" borderId="0" xfId="0" applyFill="1"/>
    <xf numFmtId="0" fontId="0" fillId="0" borderId="0" xfId="0" applyAlignment="1"/>
    <xf numFmtId="0" fontId="20" fillId="0" borderId="0" xfId="0" applyFont="1"/>
    <xf numFmtId="0" fontId="21" fillId="0" borderId="0" xfId="0" applyFont="1" applyAlignment="1">
      <alignment wrapText="1"/>
    </xf>
    <xf numFmtId="0" fontId="21" fillId="0" borderId="0" xfId="0" applyFont="1"/>
    <xf numFmtId="0" fontId="20" fillId="0" borderId="0" xfId="0" applyFont="1" applyAlignment="1">
      <alignment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
    <dxf>
      <font>
        <color rgb="FF9C0006"/>
      </font>
      <fill>
        <patternFill>
          <bgColor rgb="FFFFC7CE"/>
        </patternFill>
      </fill>
    </dxf>
    <dxf>
      <font>
        <color rgb="FF9C0006"/>
      </font>
      <fill>
        <patternFill>
          <bgColor rgb="FFFFC7CE"/>
        </patternFill>
      </fill>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9" Type="http://schemas.openxmlformats.org/officeDocument/2006/relationships/sharedStrings" Target="sharedStrings.xml"/><Relationship Id="rId21" Type="http://schemas.openxmlformats.org/officeDocument/2006/relationships/worksheet" Target="worksheets/sheet21.xml"/><Relationship Id="rId34" Type="http://schemas.microsoft.com/office/2007/relationships/slicerCache" Target="slicerCaches/slicerCache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microsoft.com/office/2007/relationships/slicerCache" Target="slicerCaches/slicerCache2.xml"/><Relationship Id="rId37" Type="http://schemas.openxmlformats.org/officeDocument/2006/relationships/connections" Target="connections.xml"/><Relationship Id="rId40"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microsoft.com/office/2007/relationships/slicerCache" Target="slicerCaches/slicerCache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microsoft.com/office/2007/relationships/slicerCache" Target="slicerCaches/slicerCache3.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ASSIGN.xlsx]avg rating_disc_category!PivotTable4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rating_disc_category'!$B$3</c:f>
              <c:strCache>
                <c:ptCount val="1"/>
                <c:pt idx="0">
                  <c:v>Average of C-Ratings</c:v>
                </c:pt>
              </c:strCache>
            </c:strRef>
          </c:tx>
          <c:spPr>
            <a:solidFill>
              <a:schemeClr val="accent1"/>
            </a:solidFill>
            <a:ln>
              <a:noFill/>
            </a:ln>
            <a:effectLst/>
          </c:spPr>
          <c:invertIfNegative val="0"/>
          <c:cat>
            <c:strRef>
              <c:f>'avg rating_disc_category'!$A$4:$A$7</c:f>
              <c:strCache>
                <c:ptCount val="3"/>
                <c:pt idx="0">
                  <c:v>high</c:v>
                </c:pt>
                <c:pt idx="1">
                  <c:v>Low</c:v>
                </c:pt>
                <c:pt idx="2">
                  <c:v>Medium</c:v>
                </c:pt>
              </c:strCache>
            </c:strRef>
          </c:cat>
          <c:val>
            <c:numRef>
              <c:f>'avg rating_disc_category'!$B$4:$B$7</c:f>
              <c:numCache>
                <c:formatCode>General</c:formatCode>
                <c:ptCount val="3"/>
                <c:pt idx="0">
                  <c:v>1.5061538461538457</c:v>
                </c:pt>
                <c:pt idx="1">
                  <c:v>1.4000000000000001</c:v>
                </c:pt>
                <c:pt idx="2">
                  <c:v>3.1354838709677417</c:v>
                </c:pt>
              </c:numCache>
            </c:numRef>
          </c:val>
          <c:extLst>
            <c:ext xmlns:c16="http://schemas.microsoft.com/office/drawing/2014/chart" uri="{C3380CC4-5D6E-409C-BE32-E72D297353CC}">
              <c16:uniqueId val="{00000000-DFE1-4E8E-828C-CB28287CF87F}"/>
            </c:ext>
          </c:extLst>
        </c:ser>
        <c:dLbls>
          <c:showLegendKey val="0"/>
          <c:showVal val="0"/>
          <c:showCatName val="0"/>
          <c:showSerName val="0"/>
          <c:showPercent val="0"/>
          <c:showBubbleSize val="0"/>
        </c:dLbls>
        <c:gapWidth val="219"/>
        <c:overlap val="-27"/>
        <c:axId val="1254788463"/>
        <c:axId val="1910459855"/>
      </c:barChart>
      <c:lineChart>
        <c:grouping val="standard"/>
        <c:varyColors val="0"/>
        <c:ser>
          <c:idx val="1"/>
          <c:order val="1"/>
          <c:tx>
            <c:strRef>
              <c:f>'avg rating_disc_category'!$C$3</c:f>
              <c:strCache>
                <c:ptCount val="1"/>
                <c:pt idx="0">
                  <c:v>Average of Discount</c:v>
                </c:pt>
              </c:strCache>
            </c:strRef>
          </c:tx>
          <c:spPr>
            <a:ln w="28575" cap="rnd">
              <a:solidFill>
                <a:schemeClr val="accent2"/>
              </a:solidFill>
              <a:round/>
            </a:ln>
            <a:effectLst/>
          </c:spPr>
          <c:marker>
            <c:symbol val="none"/>
          </c:marker>
          <c:cat>
            <c:strRef>
              <c:f>'avg rating_disc_category'!$A$4:$A$7</c:f>
              <c:strCache>
                <c:ptCount val="3"/>
                <c:pt idx="0">
                  <c:v>high</c:v>
                </c:pt>
                <c:pt idx="1">
                  <c:v>Low</c:v>
                </c:pt>
                <c:pt idx="2">
                  <c:v>Medium</c:v>
                </c:pt>
              </c:strCache>
            </c:strRef>
          </c:cat>
          <c:val>
            <c:numRef>
              <c:f>'avg rating_disc_category'!$C$4:$C$7</c:f>
              <c:numCache>
                <c:formatCode>0%</c:formatCode>
                <c:ptCount val="3"/>
                <c:pt idx="0">
                  <c:v>0.48123076923076902</c:v>
                </c:pt>
                <c:pt idx="1">
                  <c:v>7.8947368421052641E-2</c:v>
                </c:pt>
                <c:pt idx="2">
                  <c:v>0.31354838709677429</c:v>
                </c:pt>
              </c:numCache>
            </c:numRef>
          </c:val>
          <c:smooth val="0"/>
          <c:extLst>
            <c:ext xmlns:c16="http://schemas.microsoft.com/office/drawing/2014/chart" uri="{C3380CC4-5D6E-409C-BE32-E72D297353CC}">
              <c16:uniqueId val="{00000001-DFE1-4E8E-828C-CB28287CF87F}"/>
            </c:ext>
          </c:extLst>
        </c:ser>
        <c:dLbls>
          <c:showLegendKey val="0"/>
          <c:showVal val="0"/>
          <c:showCatName val="0"/>
          <c:showSerName val="0"/>
          <c:showPercent val="0"/>
          <c:showBubbleSize val="0"/>
        </c:dLbls>
        <c:marker val="1"/>
        <c:smooth val="0"/>
        <c:axId val="1254788463"/>
        <c:axId val="1910459855"/>
      </c:lineChart>
      <c:catAx>
        <c:axId val="125478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10459855"/>
        <c:crosses val="autoZero"/>
        <c:auto val="1"/>
        <c:lblAlgn val="ctr"/>
        <c:lblOffset val="100"/>
        <c:noMultiLvlLbl val="0"/>
      </c:catAx>
      <c:valAx>
        <c:axId val="191045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478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ASSIGN.xlsx]prod rating!PivotTable6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Per Rating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'prod rating'!$B$3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FC-4D4D-B51A-7404173B9C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FC-4D4D-B51A-7404173B9C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FC-4D4D-B51A-7404173B9C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FC-4D4D-B51A-7404173B9C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 rating'!$A$4:$A$8</c:f>
              <c:strCache>
                <c:ptCount val="4"/>
                <c:pt idx="0">
                  <c:v>Average</c:v>
                </c:pt>
                <c:pt idx="1">
                  <c:v>Excellent</c:v>
                </c:pt>
                <c:pt idx="2">
                  <c:v>poor</c:v>
                </c:pt>
                <c:pt idx="3">
                  <c:v>(blank)</c:v>
                </c:pt>
              </c:strCache>
            </c:strRef>
          </c:cat>
          <c:val>
            <c:numRef>
              <c:f>'prod rating'!$B$4:$B$8</c:f>
              <c:numCache>
                <c:formatCode>General</c:formatCode>
                <c:ptCount val="4"/>
                <c:pt idx="0">
                  <c:v>17</c:v>
                </c:pt>
                <c:pt idx="1">
                  <c:v>23</c:v>
                </c:pt>
                <c:pt idx="2">
                  <c:v>69</c:v>
                </c:pt>
              </c:numCache>
            </c:numRef>
          </c:val>
          <c:extLst>
            <c:ext xmlns:c16="http://schemas.microsoft.com/office/drawing/2014/chart" uri="{C3380CC4-5D6E-409C-BE32-E72D297353CC}">
              <c16:uniqueId val="{00000000-BBFA-4DB9-BDCD-0CFE12F2CA8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ASSIGN.xlsx]Rev_disc!PivotTable10</c:name>
    <c:fmtId val="0"/>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Discount</a:t>
            </a:r>
            <a:r>
              <a:rPr lang="en-US" baseline="0">
                <a:solidFill>
                  <a:schemeClr val="accent2"/>
                </a:solidFill>
              </a:rPr>
              <a:t> vs Reviews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Rev_disc!$B$3</c:f>
              <c:strCache>
                <c:ptCount val="1"/>
                <c:pt idx="0">
                  <c:v>Total</c:v>
                </c:pt>
              </c:strCache>
            </c:strRef>
          </c:tx>
          <c:spPr>
            <a:ln w="28575" cap="rnd">
              <a:solidFill>
                <a:schemeClr val="accent1"/>
              </a:solidFill>
              <a:round/>
            </a:ln>
            <a:effectLst/>
          </c:spPr>
          <c:marker>
            <c:symbol val="none"/>
          </c:marker>
          <c:cat>
            <c:strRef>
              <c:f>Rev_disc!$A$4:$A$7</c:f>
              <c:strCache>
                <c:ptCount val="3"/>
                <c:pt idx="0">
                  <c:v>high</c:v>
                </c:pt>
                <c:pt idx="1">
                  <c:v>Low</c:v>
                </c:pt>
                <c:pt idx="2">
                  <c:v>Medium</c:v>
                </c:pt>
              </c:strCache>
            </c:strRef>
          </c:cat>
          <c:val>
            <c:numRef>
              <c:f>Rev_disc!$B$4:$B$7</c:f>
              <c:numCache>
                <c:formatCode>General</c:formatCode>
                <c:ptCount val="3"/>
                <c:pt idx="0">
                  <c:v>5.129032258064516</c:v>
                </c:pt>
                <c:pt idx="1">
                  <c:v>3.4705882352941178</c:v>
                </c:pt>
                <c:pt idx="2">
                  <c:v>10.033333333333333</c:v>
                </c:pt>
              </c:numCache>
            </c:numRef>
          </c:val>
          <c:smooth val="0"/>
          <c:extLst>
            <c:ext xmlns:c16="http://schemas.microsoft.com/office/drawing/2014/chart" uri="{C3380CC4-5D6E-409C-BE32-E72D297353CC}">
              <c16:uniqueId val="{00000000-510B-4FD7-94B2-7384F2263CDE}"/>
            </c:ext>
          </c:extLst>
        </c:ser>
        <c:dLbls>
          <c:showLegendKey val="0"/>
          <c:showVal val="0"/>
          <c:showCatName val="0"/>
          <c:showSerName val="0"/>
          <c:showPercent val="0"/>
          <c:showBubbleSize val="0"/>
        </c:dLbls>
        <c:smooth val="0"/>
        <c:axId val="1737170112"/>
        <c:axId val="1594159408"/>
      </c:lineChart>
      <c:catAx>
        <c:axId val="173717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94159408"/>
        <c:crosses val="autoZero"/>
        <c:auto val="1"/>
        <c:lblAlgn val="ctr"/>
        <c:lblOffset val="100"/>
        <c:noMultiLvlLbl val="0"/>
      </c:catAx>
      <c:valAx>
        <c:axId val="159415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3717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ASSIGN.xlsx]Max disc!PivotTable11</c:name>
    <c:fmtId val="0"/>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Top</a:t>
            </a:r>
            <a:r>
              <a:rPr lang="en-US" baseline="0">
                <a:solidFill>
                  <a:schemeClr val="accent2"/>
                </a:solidFill>
              </a:rPr>
              <a:t> products by discount</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'Max disc'!$B$3</c:f>
              <c:strCache>
                <c:ptCount val="1"/>
                <c:pt idx="0">
                  <c:v>Total</c:v>
                </c:pt>
              </c:strCache>
            </c:strRef>
          </c:tx>
          <c:spPr>
            <a:solidFill>
              <a:schemeClr val="accent1"/>
            </a:solidFill>
            <a:ln>
              <a:noFill/>
            </a:ln>
            <a:effectLst/>
          </c:spPr>
          <c:invertIfNegative val="0"/>
          <c:cat>
            <c:strRef>
              <c:f>'Max disc'!$A$4:$A$14</c:f>
              <c:strCache>
                <c:ptCount val="10"/>
                <c:pt idx="0">
                  <c:v>Brush &amp; Paintbrush Cleaning Tool Pink</c:v>
                </c:pt>
                <c:pt idx="1">
                  <c:v>LASA FOLDING TABLE SERVING STAND</c:v>
                </c:pt>
                <c:pt idx="2">
                  <c:v>Intelligent  LED Body Sensor Wireless Lighting Night Light USB</c:v>
                </c:pt>
                <c:pt idx="3">
                  <c:v>Mythco 120COB Solar Wall Ligt With Motion Sensor And Remote Control 3 Modes</c:v>
                </c:pt>
                <c:pt idx="4">
                  <c:v>LASA 3 Tier Bamboo Shoe Bench Storage Shelf</c:v>
                </c:pt>
                <c:pt idx="5">
                  <c:v>120W Cordless Vacuum Cleaners Handheld Electric Vacuum Cleaner</c:v>
                </c:pt>
                <c:pt idx="6">
                  <c:v>3PCS Single Head Knitting Crochet Sweater Needle Set</c:v>
                </c:pt>
                <c:pt idx="7">
                  <c:v>Classic Black Cat Cotton Hemp Pillow Case For Home Car</c:v>
                </c:pt>
                <c:pt idx="8">
                  <c:v>Exfoliate And Exfoliate Face Towel - Black</c:v>
                </c:pt>
                <c:pt idx="9">
                  <c:v>Artificial Potted Flowers Room Decorative Flowers (2 Pieces)</c:v>
                </c:pt>
              </c:strCache>
            </c:strRef>
          </c:cat>
          <c:val>
            <c:numRef>
              <c:f>'Max disc'!$B$4:$B$14</c:f>
              <c:numCache>
                <c:formatCode>0%</c:formatCode>
                <c:ptCount val="10"/>
                <c:pt idx="0">
                  <c:v>0.61</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F1B2-4F1F-926D-F54DC70019ED}"/>
            </c:ext>
          </c:extLst>
        </c:ser>
        <c:dLbls>
          <c:showLegendKey val="0"/>
          <c:showVal val="0"/>
          <c:showCatName val="0"/>
          <c:showSerName val="0"/>
          <c:showPercent val="0"/>
          <c:showBubbleSize val="0"/>
        </c:dLbls>
        <c:gapWidth val="182"/>
        <c:axId val="1734612336"/>
        <c:axId val="1506773888"/>
      </c:barChart>
      <c:catAx>
        <c:axId val="1734612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06773888"/>
        <c:crosses val="autoZero"/>
        <c:auto val="1"/>
        <c:lblAlgn val="ctr"/>
        <c:lblOffset val="100"/>
        <c:noMultiLvlLbl val="0"/>
      </c:catAx>
      <c:valAx>
        <c:axId val="15067738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3461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ASSIGN.xlsx]most reviews!PivotTable14</c:name>
    <c:fmtId val="0"/>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Most</a:t>
            </a:r>
            <a:r>
              <a:rPr lang="en-US" baseline="0">
                <a:solidFill>
                  <a:schemeClr val="accent2"/>
                </a:solidFill>
              </a:rPr>
              <a:t> reviwed products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reviews'!$B$3</c:f>
              <c:strCache>
                <c:ptCount val="1"/>
                <c:pt idx="0">
                  <c:v>Total</c:v>
                </c:pt>
              </c:strCache>
            </c:strRef>
          </c:tx>
          <c:spPr>
            <a:solidFill>
              <a:schemeClr val="accent1"/>
            </a:solidFill>
            <a:ln>
              <a:noFill/>
            </a:ln>
            <a:effectLst/>
          </c:spPr>
          <c:invertIfNegative val="0"/>
          <c:cat>
            <c:strRef>
              <c:f>'most reviews'!$A$4:$A$14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53 Pieces/Set Yarn Knitting Crochet Hooks With Bag - Pansies</c:v>
                </c:pt>
                <c:pt idx="5">
                  <c:v>Agapeon Toothbrush Holder And Toothpaste Dispenser</c:v>
                </c:pt>
                <c:pt idx="6">
                  <c:v>Electronic Digital Display Vernier Caliper</c:v>
                </c:pt>
                <c:pt idx="7">
                  <c:v>Portable Mini Cordless Car Vacuum Cleaner - Blue</c:v>
                </c:pt>
                <c:pt idx="8">
                  <c:v>Punch-free Great Load Bearing Bathroom Storage Rack Wall Shelf-White</c:v>
                </c:pt>
                <c:pt idx="9">
                  <c:v>VIC Wireless Vacuum Cleaner Dual Use For Home And Car 120W High Power Powerful</c:v>
                </c:pt>
              </c:strCache>
            </c:strRef>
          </c:cat>
          <c:val>
            <c:numRef>
              <c:f>'most reviews'!$B$4:$B$14</c:f>
              <c:numCache>
                <c:formatCode>General</c:formatCode>
                <c:ptCount val="10"/>
                <c:pt idx="0">
                  <c:v>39</c:v>
                </c:pt>
                <c:pt idx="1">
                  <c:v>69</c:v>
                </c:pt>
                <c:pt idx="2">
                  <c:v>55</c:v>
                </c:pt>
                <c:pt idx="3">
                  <c:v>44</c:v>
                </c:pt>
                <c:pt idx="4">
                  <c:v>32</c:v>
                </c:pt>
                <c:pt idx="5">
                  <c:v>17</c:v>
                </c:pt>
                <c:pt idx="6">
                  <c:v>49</c:v>
                </c:pt>
                <c:pt idx="7">
                  <c:v>24</c:v>
                </c:pt>
                <c:pt idx="8">
                  <c:v>36</c:v>
                </c:pt>
                <c:pt idx="9">
                  <c:v>16</c:v>
                </c:pt>
              </c:numCache>
            </c:numRef>
          </c:val>
          <c:extLst>
            <c:ext xmlns:c16="http://schemas.microsoft.com/office/drawing/2014/chart" uri="{C3380CC4-5D6E-409C-BE32-E72D297353CC}">
              <c16:uniqueId val="{00000000-0C86-4A8D-853A-13741915398C}"/>
            </c:ext>
          </c:extLst>
        </c:ser>
        <c:dLbls>
          <c:showLegendKey val="0"/>
          <c:showVal val="0"/>
          <c:showCatName val="0"/>
          <c:showSerName val="0"/>
          <c:showPercent val="0"/>
          <c:showBubbleSize val="0"/>
        </c:dLbls>
        <c:gapWidth val="182"/>
        <c:axId val="410793904"/>
        <c:axId val="404180272"/>
      </c:barChart>
      <c:catAx>
        <c:axId val="41079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04180272"/>
        <c:crosses val="autoZero"/>
        <c:auto val="1"/>
        <c:lblAlgn val="ctr"/>
        <c:lblOffset val="100"/>
        <c:noMultiLvlLbl val="0"/>
      </c:catAx>
      <c:valAx>
        <c:axId val="404180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1079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ASSIGN.xlsx]Top reviews!PivotTable17</c:name>
    <c:fmtId val="7"/>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a:solidFill>
                  <a:srgbClr val="C00000"/>
                </a:solidFill>
              </a:rPr>
              <a:t>Average</a:t>
            </a:r>
            <a:r>
              <a:rPr lang="en-US" baseline="0">
                <a:solidFill>
                  <a:srgbClr val="C00000"/>
                </a:solidFill>
              </a:rPr>
              <a:t> per rating</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reviews'!$B$3</c:f>
              <c:strCache>
                <c:ptCount val="1"/>
                <c:pt idx="0">
                  <c:v>Total</c:v>
                </c:pt>
              </c:strCache>
            </c:strRef>
          </c:tx>
          <c:spPr>
            <a:solidFill>
              <a:schemeClr val="accent1"/>
            </a:solidFill>
            <a:ln>
              <a:noFill/>
            </a:ln>
            <a:effectLst/>
          </c:spPr>
          <c:invertIfNegative val="0"/>
          <c:cat>
            <c:strRef>
              <c:f>'Top reviews'!$A$4:$A$9</c:f>
              <c:strCache>
                <c:ptCount val="5"/>
                <c:pt idx="0">
                  <c:v>Anti-Skid Absorbent Insulation Coaster  For Home Office</c:v>
                </c:pt>
                <c:pt idx="1">
                  <c:v>Bedroom Simple Floor Hanging Clothes Rack Single Pole Hat Rack - White</c:v>
                </c:pt>
                <c:pt idx="2">
                  <c:v>Classic Black Cat Cotton Hemp Pillow Case For Home Car</c:v>
                </c:pt>
                <c:pt idx="3">
                  <c:v>DIY File Folder, Office Drawer File Holder, Pen Holder, Desktop Storage Rack</c:v>
                </c:pt>
                <c:pt idx="4">
                  <c:v>Konka Healty Electric Kettle, 24-hour Heat Preservation,1.5L,800W, White</c:v>
                </c:pt>
              </c:strCache>
            </c:strRef>
          </c:cat>
          <c:val>
            <c:numRef>
              <c:f>'Top reviews'!$B$4:$B$9</c:f>
              <c:numCache>
                <c:formatCode>General</c:formatCode>
                <c:ptCount val="5"/>
                <c:pt idx="0">
                  <c:v>5</c:v>
                </c:pt>
                <c:pt idx="1">
                  <c:v>5</c:v>
                </c:pt>
                <c:pt idx="2">
                  <c:v>5</c:v>
                </c:pt>
                <c:pt idx="3">
                  <c:v>5</c:v>
                </c:pt>
                <c:pt idx="4">
                  <c:v>5</c:v>
                </c:pt>
              </c:numCache>
            </c:numRef>
          </c:val>
          <c:extLst>
            <c:ext xmlns:c16="http://schemas.microsoft.com/office/drawing/2014/chart" uri="{C3380CC4-5D6E-409C-BE32-E72D297353CC}">
              <c16:uniqueId val="{00000000-F545-417C-9956-F379A715F8F4}"/>
            </c:ext>
          </c:extLst>
        </c:ser>
        <c:dLbls>
          <c:showLegendKey val="0"/>
          <c:showVal val="0"/>
          <c:showCatName val="0"/>
          <c:showSerName val="0"/>
          <c:showPercent val="0"/>
          <c:showBubbleSize val="0"/>
        </c:dLbls>
        <c:gapWidth val="182"/>
        <c:axId val="1835361887"/>
        <c:axId val="1174809855"/>
      </c:barChart>
      <c:catAx>
        <c:axId val="183536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74809855"/>
        <c:crosses val="autoZero"/>
        <c:auto val="1"/>
        <c:lblAlgn val="ctr"/>
        <c:lblOffset val="100"/>
        <c:noMultiLvlLbl val="0"/>
      </c:catAx>
      <c:valAx>
        <c:axId val="1174809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536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ASSIGN.xlsx]High discount comparison!PivotTable19</c:name>
    <c:fmtId val="0"/>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baseline="0">
                <a:solidFill>
                  <a:schemeClr val="accent2"/>
                </a:solidFill>
              </a:rPr>
              <a:t>Discount comparison to Reviews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discount comparison'!$B$3:$B$4</c:f>
              <c:strCache>
                <c:ptCount val="1"/>
                <c:pt idx="0">
                  <c:v>Average</c:v>
                </c:pt>
              </c:strCache>
            </c:strRef>
          </c:tx>
          <c:spPr>
            <a:solidFill>
              <a:schemeClr val="accent1"/>
            </a:solidFill>
            <a:ln>
              <a:noFill/>
            </a:ln>
            <a:effectLst/>
          </c:spPr>
          <c:invertIfNegative val="0"/>
          <c:cat>
            <c:strRef>
              <c:f>'High discount comparison'!$A$5:$A$8</c:f>
              <c:strCache>
                <c:ptCount val="3"/>
                <c:pt idx="0">
                  <c:v>high</c:v>
                </c:pt>
                <c:pt idx="1">
                  <c:v>Low</c:v>
                </c:pt>
                <c:pt idx="2">
                  <c:v>Medium</c:v>
                </c:pt>
              </c:strCache>
            </c:strRef>
          </c:cat>
          <c:val>
            <c:numRef>
              <c:f>'High discount comparison'!$B$5:$B$8</c:f>
              <c:numCache>
                <c:formatCode>General</c:formatCode>
                <c:ptCount val="3"/>
                <c:pt idx="0">
                  <c:v>36</c:v>
                </c:pt>
                <c:pt idx="1">
                  <c:v>15</c:v>
                </c:pt>
                <c:pt idx="2">
                  <c:v>14</c:v>
                </c:pt>
              </c:numCache>
            </c:numRef>
          </c:val>
          <c:extLst>
            <c:ext xmlns:c16="http://schemas.microsoft.com/office/drawing/2014/chart" uri="{C3380CC4-5D6E-409C-BE32-E72D297353CC}">
              <c16:uniqueId val="{00000000-120C-483F-9BCA-7F30C844AAE5}"/>
            </c:ext>
          </c:extLst>
        </c:ser>
        <c:dLbls>
          <c:showLegendKey val="0"/>
          <c:showVal val="0"/>
          <c:showCatName val="0"/>
          <c:showSerName val="0"/>
          <c:showPercent val="0"/>
          <c:showBubbleSize val="0"/>
        </c:dLbls>
        <c:gapWidth val="219"/>
        <c:overlap val="-27"/>
        <c:axId val="1737145712"/>
        <c:axId val="181595760"/>
      </c:barChart>
      <c:catAx>
        <c:axId val="173714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1595760"/>
        <c:crosses val="autoZero"/>
        <c:auto val="1"/>
        <c:lblAlgn val="ctr"/>
        <c:lblOffset val="100"/>
        <c:noMultiLvlLbl val="0"/>
      </c:catAx>
      <c:valAx>
        <c:axId val="18159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37145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ASSIGN.xlsx]reviews_rating!PivotTable26</c:name>
    <c:fmtId val="0"/>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Comparison</a:t>
            </a:r>
            <a:r>
              <a:rPr lang="en-US" baseline="0">
                <a:solidFill>
                  <a:schemeClr val="accent2"/>
                </a:solidFill>
              </a:rPr>
              <a:t> of Reviews VS Rating</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reviews_rating!$B$3</c:f>
              <c:strCache>
                <c:ptCount val="1"/>
                <c:pt idx="0">
                  <c:v>Total</c:v>
                </c:pt>
              </c:strCache>
            </c:strRef>
          </c:tx>
          <c:spPr>
            <a:solidFill>
              <a:schemeClr val="accent1"/>
            </a:solidFill>
            <a:ln>
              <a:noFill/>
            </a:ln>
            <a:effectLst/>
          </c:spPr>
          <c:invertIfNegative val="0"/>
          <c:cat>
            <c:strRef>
              <c:f>reviews_rating!$A$4:$A$7</c:f>
              <c:strCache>
                <c:ptCount val="3"/>
                <c:pt idx="0">
                  <c:v>Average</c:v>
                </c:pt>
                <c:pt idx="1">
                  <c:v>Excellent</c:v>
                </c:pt>
                <c:pt idx="2">
                  <c:v>poor</c:v>
                </c:pt>
              </c:strCache>
            </c:strRef>
          </c:cat>
          <c:val>
            <c:numRef>
              <c:f>reviews_rating!$B$4:$B$7</c:f>
              <c:numCache>
                <c:formatCode>General</c:formatCode>
                <c:ptCount val="3"/>
                <c:pt idx="0">
                  <c:v>8.9090909090909083</c:v>
                </c:pt>
                <c:pt idx="1">
                  <c:v>13.608695652173912</c:v>
                </c:pt>
                <c:pt idx="2">
                  <c:v>2.640625</c:v>
                </c:pt>
              </c:numCache>
            </c:numRef>
          </c:val>
          <c:extLst>
            <c:ext xmlns:c16="http://schemas.microsoft.com/office/drawing/2014/chart" uri="{C3380CC4-5D6E-409C-BE32-E72D297353CC}">
              <c16:uniqueId val="{00000000-5799-4E79-B75D-022D064F2010}"/>
            </c:ext>
          </c:extLst>
        </c:ser>
        <c:dLbls>
          <c:showLegendKey val="0"/>
          <c:showVal val="0"/>
          <c:showCatName val="0"/>
          <c:showSerName val="0"/>
          <c:showPercent val="0"/>
          <c:showBubbleSize val="0"/>
        </c:dLbls>
        <c:gapWidth val="182"/>
        <c:axId val="183129872"/>
        <c:axId val="1595190208"/>
      </c:barChart>
      <c:catAx>
        <c:axId val="18312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95190208"/>
        <c:crosses val="autoZero"/>
        <c:auto val="1"/>
        <c:lblAlgn val="ctr"/>
        <c:lblOffset val="100"/>
        <c:noMultiLvlLbl val="0"/>
      </c:catAx>
      <c:valAx>
        <c:axId val="1595190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12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ASSIGN.xlsx]Disc+customer engagement!PivotTable28</c:name>
    <c:fmtId val="2"/>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Discount vs Customer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'Disc+customer engagement'!$B$3</c:f>
              <c:strCache>
                <c:ptCount val="1"/>
                <c:pt idx="0">
                  <c:v>Total</c:v>
                </c:pt>
              </c:strCache>
            </c:strRef>
          </c:tx>
          <c:spPr>
            <a:ln w="28575" cap="rnd">
              <a:solidFill>
                <a:schemeClr val="accent1"/>
              </a:solidFill>
              <a:round/>
            </a:ln>
            <a:effectLst/>
          </c:spPr>
          <c:marker>
            <c:symbol val="none"/>
          </c:marker>
          <c:cat>
            <c:strRef>
              <c:f>'Disc+customer engagement'!$A$4:$A$7</c:f>
              <c:strCache>
                <c:ptCount val="3"/>
                <c:pt idx="0">
                  <c:v>high</c:v>
                </c:pt>
                <c:pt idx="1">
                  <c:v>Low</c:v>
                </c:pt>
                <c:pt idx="2">
                  <c:v>Medium</c:v>
                </c:pt>
              </c:strCache>
            </c:strRef>
          </c:cat>
          <c:val>
            <c:numRef>
              <c:f>'Disc+customer engagement'!$B$4:$B$7</c:f>
              <c:numCache>
                <c:formatCode>General</c:formatCode>
                <c:ptCount val="3"/>
                <c:pt idx="0">
                  <c:v>5.129032258064516</c:v>
                </c:pt>
                <c:pt idx="1">
                  <c:v>3.4705882352941178</c:v>
                </c:pt>
                <c:pt idx="2">
                  <c:v>10.033333333333333</c:v>
                </c:pt>
              </c:numCache>
            </c:numRef>
          </c:val>
          <c:smooth val="0"/>
          <c:extLst>
            <c:ext xmlns:c16="http://schemas.microsoft.com/office/drawing/2014/chart" uri="{C3380CC4-5D6E-409C-BE32-E72D297353CC}">
              <c16:uniqueId val="{00000000-EE71-4FA7-A7DB-43B7EB701BD0}"/>
            </c:ext>
          </c:extLst>
        </c:ser>
        <c:dLbls>
          <c:showLegendKey val="0"/>
          <c:showVal val="0"/>
          <c:showCatName val="0"/>
          <c:showSerName val="0"/>
          <c:showPercent val="0"/>
          <c:showBubbleSize val="0"/>
        </c:dLbls>
        <c:smooth val="0"/>
        <c:axId val="182792208"/>
        <c:axId val="183103392"/>
      </c:lineChart>
      <c:catAx>
        <c:axId val="18279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103392"/>
        <c:crosses val="autoZero"/>
        <c:auto val="1"/>
        <c:lblAlgn val="ctr"/>
        <c:lblOffset val="100"/>
        <c:noMultiLvlLbl val="0"/>
      </c:catAx>
      <c:valAx>
        <c:axId val="18310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79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ASSIGN.xlsx]prod_rating!PivotTable1</c:name>
    <c:fmtId val="0"/>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a:solidFill>
                  <a:srgbClr val="C00000"/>
                </a:solidFill>
              </a:rPr>
              <a:t>Product</a:t>
            </a:r>
            <a:r>
              <a:rPr lang="en-US" baseline="0">
                <a:solidFill>
                  <a:srgbClr val="C00000"/>
                </a:solidFill>
              </a:rPr>
              <a:t> per Rating</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prod_rating!$B$3</c:f>
              <c:strCache>
                <c:ptCount val="1"/>
                <c:pt idx="0">
                  <c:v>Total</c:v>
                </c:pt>
              </c:strCache>
            </c:strRef>
          </c:tx>
          <c:spPr>
            <a:solidFill>
              <a:schemeClr val="accent1"/>
            </a:solidFill>
            <a:ln>
              <a:noFill/>
            </a:ln>
            <a:effectLst/>
          </c:spPr>
          <c:invertIfNegative val="0"/>
          <c:cat>
            <c:strRef>
              <c:f>prod_rating!$A$4:$A$14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prod_rating!$B$4:$B$14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37D3-42E3-88C1-0DE2C93563CE}"/>
            </c:ext>
          </c:extLst>
        </c:ser>
        <c:dLbls>
          <c:showLegendKey val="0"/>
          <c:showVal val="0"/>
          <c:showCatName val="0"/>
          <c:showSerName val="0"/>
          <c:showPercent val="0"/>
          <c:showBubbleSize val="0"/>
        </c:dLbls>
        <c:gapWidth val="182"/>
        <c:axId val="1244622703"/>
        <c:axId val="1833334047"/>
      </c:barChart>
      <c:catAx>
        <c:axId val="1244622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3334047"/>
        <c:crosses val="autoZero"/>
        <c:auto val="1"/>
        <c:lblAlgn val="ctr"/>
        <c:lblOffset val="100"/>
        <c:noMultiLvlLbl val="0"/>
      </c:catAx>
      <c:valAx>
        <c:axId val="1833334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4462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ASSIGN.xlsx]prod_reviews!PivotTable2</c:name>
    <c:fmtId val="0"/>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a:solidFill>
                  <a:srgbClr val="C00000"/>
                </a:solidFill>
              </a:rPr>
              <a:t>Product</a:t>
            </a:r>
            <a:r>
              <a:rPr lang="en-US" baseline="0">
                <a:solidFill>
                  <a:srgbClr val="C00000"/>
                </a:solidFill>
              </a:rPr>
              <a:t> vs Reviews</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prod_reviews!$B$3</c:f>
              <c:strCache>
                <c:ptCount val="1"/>
                <c:pt idx="0">
                  <c:v>Total</c:v>
                </c:pt>
              </c:strCache>
            </c:strRef>
          </c:tx>
          <c:spPr>
            <a:solidFill>
              <a:schemeClr val="accent1"/>
            </a:solidFill>
            <a:ln>
              <a:noFill/>
            </a:ln>
            <a:effectLst/>
          </c:spPr>
          <c:invertIfNegative val="0"/>
          <c:cat>
            <c:strRef>
              <c:f>prod_reviews!$A$4:$A$14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53 Pieces/Set Yarn Knitting Crochet Hooks With Bag - Pansies</c:v>
                </c:pt>
                <c:pt idx="5">
                  <c:v>Agapeon Toothbrush Holder And Toothpaste Dispenser</c:v>
                </c:pt>
                <c:pt idx="6">
                  <c:v>Electronic Digital Display Vernier Caliper</c:v>
                </c:pt>
                <c:pt idx="7">
                  <c:v>Portable Mini Cordless Car Vacuum Cleaner - Blue</c:v>
                </c:pt>
                <c:pt idx="8">
                  <c:v>Punch-free Great Load Bearing Bathroom Storage Rack Wall Shelf-White</c:v>
                </c:pt>
                <c:pt idx="9">
                  <c:v>VIC Wireless Vacuum Cleaner Dual Use For Home And Car 120W High Power Powerful</c:v>
                </c:pt>
              </c:strCache>
            </c:strRef>
          </c:cat>
          <c:val>
            <c:numRef>
              <c:f>prod_reviews!$B$4:$B$14</c:f>
              <c:numCache>
                <c:formatCode>General</c:formatCode>
                <c:ptCount val="10"/>
                <c:pt idx="0">
                  <c:v>39</c:v>
                </c:pt>
                <c:pt idx="1">
                  <c:v>69</c:v>
                </c:pt>
                <c:pt idx="2">
                  <c:v>55</c:v>
                </c:pt>
                <c:pt idx="3">
                  <c:v>44</c:v>
                </c:pt>
                <c:pt idx="4">
                  <c:v>32</c:v>
                </c:pt>
                <c:pt idx="5">
                  <c:v>17</c:v>
                </c:pt>
                <c:pt idx="6">
                  <c:v>49</c:v>
                </c:pt>
                <c:pt idx="7">
                  <c:v>24</c:v>
                </c:pt>
                <c:pt idx="8">
                  <c:v>36</c:v>
                </c:pt>
                <c:pt idx="9">
                  <c:v>16</c:v>
                </c:pt>
              </c:numCache>
            </c:numRef>
          </c:val>
          <c:extLst>
            <c:ext xmlns:c16="http://schemas.microsoft.com/office/drawing/2014/chart" uri="{C3380CC4-5D6E-409C-BE32-E72D297353CC}">
              <c16:uniqueId val="{00000000-22F6-45FC-9006-15E5DB870170}"/>
            </c:ext>
          </c:extLst>
        </c:ser>
        <c:dLbls>
          <c:showLegendKey val="0"/>
          <c:showVal val="0"/>
          <c:showCatName val="0"/>
          <c:showSerName val="0"/>
          <c:showPercent val="0"/>
          <c:showBubbleSize val="0"/>
        </c:dLbls>
        <c:gapWidth val="182"/>
        <c:axId val="1251554335"/>
        <c:axId val="1254489839"/>
      </c:barChart>
      <c:catAx>
        <c:axId val="125155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4489839"/>
        <c:crosses val="autoZero"/>
        <c:auto val="1"/>
        <c:lblAlgn val="ctr"/>
        <c:lblOffset val="100"/>
        <c:noMultiLvlLbl val="0"/>
      </c:catAx>
      <c:valAx>
        <c:axId val="1254489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155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ASSIGN.xlsx]Max disc!PivotTable11</c:name>
    <c:fmtId val="3"/>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Top</a:t>
            </a:r>
            <a:r>
              <a:rPr lang="en-US" baseline="0">
                <a:solidFill>
                  <a:schemeClr val="accent2"/>
                </a:solidFill>
              </a:rPr>
              <a:t> products by discount</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'Max disc'!$B$3</c:f>
              <c:strCache>
                <c:ptCount val="1"/>
                <c:pt idx="0">
                  <c:v>Total</c:v>
                </c:pt>
              </c:strCache>
            </c:strRef>
          </c:tx>
          <c:spPr>
            <a:solidFill>
              <a:schemeClr val="accent1"/>
            </a:solidFill>
            <a:ln>
              <a:noFill/>
            </a:ln>
            <a:effectLst/>
          </c:spPr>
          <c:invertIfNegative val="0"/>
          <c:cat>
            <c:strRef>
              <c:f>'Max disc'!$A$4:$A$14</c:f>
              <c:strCache>
                <c:ptCount val="10"/>
                <c:pt idx="0">
                  <c:v>Brush &amp; Paintbrush Cleaning Tool Pink</c:v>
                </c:pt>
                <c:pt idx="1">
                  <c:v>LASA FOLDING TABLE SERVING STAND</c:v>
                </c:pt>
                <c:pt idx="2">
                  <c:v>Intelligent  LED Body Sensor Wireless Lighting Night Light USB</c:v>
                </c:pt>
                <c:pt idx="3">
                  <c:v>Mythco 120COB Solar Wall Ligt With Motion Sensor And Remote Control 3 Modes</c:v>
                </c:pt>
                <c:pt idx="4">
                  <c:v>LASA 3 Tier Bamboo Shoe Bench Storage Shelf</c:v>
                </c:pt>
                <c:pt idx="5">
                  <c:v>120W Cordless Vacuum Cleaners Handheld Electric Vacuum Cleaner</c:v>
                </c:pt>
                <c:pt idx="6">
                  <c:v>3PCS Single Head Knitting Crochet Sweater Needle Set</c:v>
                </c:pt>
                <c:pt idx="7">
                  <c:v>Classic Black Cat Cotton Hemp Pillow Case For Home Car</c:v>
                </c:pt>
                <c:pt idx="8">
                  <c:v>Exfoliate And Exfoliate Face Towel - Black</c:v>
                </c:pt>
                <c:pt idx="9">
                  <c:v>Artificial Potted Flowers Room Decorative Flowers (2 Pieces)</c:v>
                </c:pt>
              </c:strCache>
            </c:strRef>
          </c:cat>
          <c:val>
            <c:numRef>
              <c:f>'Max disc'!$B$4:$B$14</c:f>
              <c:numCache>
                <c:formatCode>0%</c:formatCode>
                <c:ptCount val="10"/>
                <c:pt idx="0">
                  <c:v>0.61</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05B1-4F42-BA01-CC5B47F9DA29}"/>
            </c:ext>
          </c:extLst>
        </c:ser>
        <c:dLbls>
          <c:showLegendKey val="0"/>
          <c:showVal val="0"/>
          <c:showCatName val="0"/>
          <c:showSerName val="0"/>
          <c:showPercent val="0"/>
          <c:showBubbleSize val="0"/>
        </c:dLbls>
        <c:gapWidth val="182"/>
        <c:axId val="1734612336"/>
        <c:axId val="1506773888"/>
      </c:barChart>
      <c:catAx>
        <c:axId val="1734612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06773888"/>
        <c:crosses val="autoZero"/>
        <c:auto val="1"/>
        <c:lblAlgn val="ctr"/>
        <c:lblOffset val="100"/>
        <c:noMultiLvlLbl val="0"/>
      </c:catAx>
      <c:valAx>
        <c:axId val="15067738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3461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ASSIGN.xlsx]reviews_rating!PivotTable26</c:name>
    <c:fmtId val="3"/>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Comparison</a:t>
            </a:r>
            <a:r>
              <a:rPr lang="en-US" baseline="0">
                <a:solidFill>
                  <a:schemeClr val="accent2"/>
                </a:solidFill>
              </a:rPr>
              <a:t> of Reviews VS Rating</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reviews_rating!$B$3</c:f>
              <c:strCache>
                <c:ptCount val="1"/>
                <c:pt idx="0">
                  <c:v>Total</c:v>
                </c:pt>
              </c:strCache>
            </c:strRef>
          </c:tx>
          <c:spPr>
            <a:solidFill>
              <a:schemeClr val="accent1"/>
            </a:solidFill>
            <a:ln>
              <a:noFill/>
            </a:ln>
            <a:effectLst/>
          </c:spPr>
          <c:invertIfNegative val="0"/>
          <c:cat>
            <c:strRef>
              <c:f>reviews_rating!$A$4:$A$7</c:f>
              <c:strCache>
                <c:ptCount val="3"/>
                <c:pt idx="0">
                  <c:v>Average</c:v>
                </c:pt>
                <c:pt idx="1">
                  <c:v>Excellent</c:v>
                </c:pt>
                <c:pt idx="2">
                  <c:v>poor</c:v>
                </c:pt>
              </c:strCache>
            </c:strRef>
          </c:cat>
          <c:val>
            <c:numRef>
              <c:f>reviews_rating!$B$4:$B$7</c:f>
              <c:numCache>
                <c:formatCode>General</c:formatCode>
                <c:ptCount val="3"/>
                <c:pt idx="0">
                  <c:v>8.9090909090909083</c:v>
                </c:pt>
                <c:pt idx="1">
                  <c:v>13.608695652173912</c:v>
                </c:pt>
                <c:pt idx="2">
                  <c:v>2.640625</c:v>
                </c:pt>
              </c:numCache>
            </c:numRef>
          </c:val>
          <c:extLst>
            <c:ext xmlns:c16="http://schemas.microsoft.com/office/drawing/2014/chart" uri="{C3380CC4-5D6E-409C-BE32-E72D297353CC}">
              <c16:uniqueId val="{00000000-B59F-4987-9AE6-44401FB2EAD7}"/>
            </c:ext>
          </c:extLst>
        </c:ser>
        <c:dLbls>
          <c:showLegendKey val="0"/>
          <c:showVal val="0"/>
          <c:showCatName val="0"/>
          <c:showSerName val="0"/>
          <c:showPercent val="0"/>
          <c:showBubbleSize val="0"/>
        </c:dLbls>
        <c:gapWidth val="182"/>
        <c:axId val="183129872"/>
        <c:axId val="1595190208"/>
      </c:barChart>
      <c:catAx>
        <c:axId val="18312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95190208"/>
        <c:crosses val="autoZero"/>
        <c:auto val="1"/>
        <c:lblAlgn val="ctr"/>
        <c:lblOffset val="100"/>
        <c:noMultiLvlLbl val="0"/>
      </c:catAx>
      <c:valAx>
        <c:axId val="1595190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12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ASSIGN.xlsx]prod rating!PivotTable6</c:name>
    <c:fmtId val="3"/>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Product</a:t>
            </a:r>
            <a:r>
              <a:rPr lang="en-US" baseline="0">
                <a:solidFill>
                  <a:schemeClr val="accent2"/>
                </a:solidFill>
              </a:rPr>
              <a:t> Per Rating Category</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'prod rating'!$B$3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1A-4A14-AF30-D8B7737347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1A-4A14-AF30-D8B7737347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1A-4A14-AF30-D8B7737347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5E-4624-8999-8FBAF68E95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 rating'!$A$4:$A$8</c:f>
              <c:strCache>
                <c:ptCount val="4"/>
                <c:pt idx="0">
                  <c:v>Average</c:v>
                </c:pt>
                <c:pt idx="1">
                  <c:v>Excellent</c:v>
                </c:pt>
                <c:pt idx="2">
                  <c:v>poor</c:v>
                </c:pt>
                <c:pt idx="3">
                  <c:v>(blank)</c:v>
                </c:pt>
              </c:strCache>
            </c:strRef>
          </c:cat>
          <c:val>
            <c:numRef>
              <c:f>'prod rating'!$B$4:$B$8</c:f>
              <c:numCache>
                <c:formatCode>General</c:formatCode>
                <c:ptCount val="4"/>
                <c:pt idx="0">
                  <c:v>17</c:v>
                </c:pt>
                <c:pt idx="1">
                  <c:v>23</c:v>
                </c:pt>
                <c:pt idx="2">
                  <c:v>69</c:v>
                </c:pt>
              </c:numCache>
            </c:numRef>
          </c:val>
          <c:extLst>
            <c:ext xmlns:c16="http://schemas.microsoft.com/office/drawing/2014/chart" uri="{C3380CC4-5D6E-409C-BE32-E72D297353CC}">
              <c16:uniqueId val="{00000006-E31A-4A14-AF30-D8B77373472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ASSIGN.xlsx]Rev_disc!PivotTable10</c:name>
    <c:fmtId val="3"/>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Discount</a:t>
            </a:r>
            <a:r>
              <a:rPr lang="en-US" baseline="0">
                <a:solidFill>
                  <a:schemeClr val="accent2"/>
                </a:solidFill>
              </a:rPr>
              <a:t> vs customer engagement(Reviews)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Rev_disc!$B$3</c:f>
              <c:strCache>
                <c:ptCount val="1"/>
                <c:pt idx="0">
                  <c:v>Total</c:v>
                </c:pt>
              </c:strCache>
            </c:strRef>
          </c:tx>
          <c:spPr>
            <a:ln w="28575" cap="rnd">
              <a:solidFill>
                <a:schemeClr val="accent1"/>
              </a:solidFill>
              <a:round/>
            </a:ln>
            <a:effectLst/>
          </c:spPr>
          <c:marker>
            <c:symbol val="none"/>
          </c:marker>
          <c:cat>
            <c:strRef>
              <c:f>Rev_disc!$A$4:$A$7</c:f>
              <c:strCache>
                <c:ptCount val="3"/>
                <c:pt idx="0">
                  <c:v>high</c:v>
                </c:pt>
                <c:pt idx="1">
                  <c:v>Low</c:v>
                </c:pt>
                <c:pt idx="2">
                  <c:v>Medium</c:v>
                </c:pt>
              </c:strCache>
            </c:strRef>
          </c:cat>
          <c:val>
            <c:numRef>
              <c:f>Rev_disc!$B$4:$B$7</c:f>
              <c:numCache>
                <c:formatCode>General</c:formatCode>
                <c:ptCount val="3"/>
                <c:pt idx="0">
                  <c:v>5.129032258064516</c:v>
                </c:pt>
                <c:pt idx="1">
                  <c:v>3.4705882352941178</c:v>
                </c:pt>
                <c:pt idx="2">
                  <c:v>10.033333333333333</c:v>
                </c:pt>
              </c:numCache>
            </c:numRef>
          </c:val>
          <c:smooth val="0"/>
          <c:extLst>
            <c:ext xmlns:c16="http://schemas.microsoft.com/office/drawing/2014/chart" uri="{C3380CC4-5D6E-409C-BE32-E72D297353CC}">
              <c16:uniqueId val="{00000000-A59F-4CBC-AF81-BDAFE8F5B4C2}"/>
            </c:ext>
          </c:extLst>
        </c:ser>
        <c:dLbls>
          <c:showLegendKey val="0"/>
          <c:showVal val="0"/>
          <c:showCatName val="0"/>
          <c:showSerName val="0"/>
          <c:showPercent val="0"/>
          <c:showBubbleSize val="0"/>
        </c:dLbls>
        <c:smooth val="0"/>
        <c:axId val="1737170112"/>
        <c:axId val="1594159408"/>
      </c:lineChart>
      <c:catAx>
        <c:axId val="173717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94159408"/>
        <c:crosses val="autoZero"/>
        <c:auto val="1"/>
        <c:lblAlgn val="ctr"/>
        <c:lblOffset val="100"/>
        <c:noMultiLvlLbl val="0"/>
      </c:catAx>
      <c:valAx>
        <c:axId val="159415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3717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ASSIGN.xlsx]prod_rating!PivotTable1</c:name>
    <c:fmtId val="3"/>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a:solidFill>
                  <a:srgbClr val="C00000"/>
                </a:solidFill>
              </a:rPr>
              <a:t>Product</a:t>
            </a:r>
            <a:r>
              <a:rPr lang="en-US" baseline="0">
                <a:solidFill>
                  <a:srgbClr val="C00000"/>
                </a:solidFill>
              </a:rPr>
              <a:t> per Rating</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prod_rating!$B$3</c:f>
              <c:strCache>
                <c:ptCount val="1"/>
                <c:pt idx="0">
                  <c:v>Total</c:v>
                </c:pt>
              </c:strCache>
            </c:strRef>
          </c:tx>
          <c:spPr>
            <a:solidFill>
              <a:schemeClr val="accent1"/>
            </a:solidFill>
            <a:ln>
              <a:noFill/>
            </a:ln>
            <a:effectLst/>
          </c:spPr>
          <c:invertIfNegative val="0"/>
          <c:cat>
            <c:strRef>
              <c:f>prod_rating!$A$4:$A$14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prod_rating!$B$4:$B$14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1F9E-4958-9066-38F484230641}"/>
            </c:ext>
          </c:extLst>
        </c:ser>
        <c:dLbls>
          <c:showLegendKey val="0"/>
          <c:showVal val="0"/>
          <c:showCatName val="0"/>
          <c:showSerName val="0"/>
          <c:showPercent val="0"/>
          <c:showBubbleSize val="0"/>
        </c:dLbls>
        <c:gapWidth val="182"/>
        <c:axId val="1244622703"/>
        <c:axId val="1833334047"/>
      </c:barChart>
      <c:catAx>
        <c:axId val="1244622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3334047"/>
        <c:crosses val="autoZero"/>
        <c:auto val="1"/>
        <c:lblAlgn val="ctr"/>
        <c:lblOffset val="100"/>
        <c:noMultiLvlLbl val="0"/>
      </c:catAx>
      <c:valAx>
        <c:axId val="1833334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4462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ASSIGN.xlsx]prod_reviews!PivotTable2</c:name>
    <c:fmtId val="3"/>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a:solidFill>
                  <a:srgbClr val="C00000"/>
                </a:solidFill>
              </a:rPr>
              <a:t>Product</a:t>
            </a:r>
            <a:r>
              <a:rPr lang="en-US" baseline="0">
                <a:solidFill>
                  <a:srgbClr val="C00000"/>
                </a:solidFill>
              </a:rPr>
              <a:t> vs Reviews</a:t>
            </a:r>
            <a:endParaRPr lang="en-US">
              <a:solidFill>
                <a:srgbClr val="C00000"/>
              </a:solidFill>
            </a:endParaRPr>
          </a:p>
        </c:rich>
      </c:tx>
      <c:layout>
        <c:manualLayout>
          <c:xMode val="edge"/>
          <c:yMode val="edge"/>
          <c:x val="0.3837430008748906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prod_reviews!$B$3</c:f>
              <c:strCache>
                <c:ptCount val="1"/>
                <c:pt idx="0">
                  <c:v>Total</c:v>
                </c:pt>
              </c:strCache>
            </c:strRef>
          </c:tx>
          <c:spPr>
            <a:solidFill>
              <a:schemeClr val="accent1"/>
            </a:solidFill>
            <a:ln>
              <a:noFill/>
            </a:ln>
            <a:effectLst/>
          </c:spPr>
          <c:invertIfNegative val="0"/>
          <c:cat>
            <c:strRef>
              <c:f>prod_reviews!$A$4:$A$14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53 Pieces/Set Yarn Knitting Crochet Hooks With Bag - Pansies</c:v>
                </c:pt>
                <c:pt idx="5">
                  <c:v>Agapeon Toothbrush Holder And Toothpaste Dispenser</c:v>
                </c:pt>
                <c:pt idx="6">
                  <c:v>Electronic Digital Display Vernier Caliper</c:v>
                </c:pt>
                <c:pt idx="7">
                  <c:v>Portable Mini Cordless Car Vacuum Cleaner - Blue</c:v>
                </c:pt>
                <c:pt idx="8">
                  <c:v>Punch-free Great Load Bearing Bathroom Storage Rack Wall Shelf-White</c:v>
                </c:pt>
                <c:pt idx="9">
                  <c:v>VIC Wireless Vacuum Cleaner Dual Use For Home And Car 120W High Power Powerful</c:v>
                </c:pt>
              </c:strCache>
            </c:strRef>
          </c:cat>
          <c:val>
            <c:numRef>
              <c:f>prod_reviews!$B$4:$B$14</c:f>
              <c:numCache>
                <c:formatCode>General</c:formatCode>
                <c:ptCount val="10"/>
                <c:pt idx="0">
                  <c:v>39</c:v>
                </c:pt>
                <c:pt idx="1">
                  <c:v>69</c:v>
                </c:pt>
                <c:pt idx="2">
                  <c:v>55</c:v>
                </c:pt>
                <c:pt idx="3">
                  <c:v>44</c:v>
                </c:pt>
                <c:pt idx="4">
                  <c:v>32</c:v>
                </c:pt>
                <c:pt idx="5">
                  <c:v>17</c:v>
                </c:pt>
                <c:pt idx="6">
                  <c:v>49</c:v>
                </c:pt>
                <c:pt idx="7">
                  <c:v>24</c:v>
                </c:pt>
                <c:pt idx="8">
                  <c:v>36</c:v>
                </c:pt>
                <c:pt idx="9">
                  <c:v>16</c:v>
                </c:pt>
              </c:numCache>
            </c:numRef>
          </c:val>
          <c:extLst>
            <c:ext xmlns:c16="http://schemas.microsoft.com/office/drawing/2014/chart" uri="{C3380CC4-5D6E-409C-BE32-E72D297353CC}">
              <c16:uniqueId val="{00000000-4C40-47F2-BD7E-810F4F4F3BF6}"/>
            </c:ext>
          </c:extLst>
        </c:ser>
        <c:dLbls>
          <c:showLegendKey val="0"/>
          <c:showVal val="0"/>
          <c:showCatName val="0"/>
          <c:showSerName val="0"/>
          <c:showPercent val="0"/>
          <c:showBubbleSize val="0"/>
        </c:dLbls>
        <c:gapWidth val="182"/>
        <c:axId val="1251554335"/>
        <c:axId val="1254489839"/>
      </c:barChart>
      <c:catAx>
        <c:axId val="125155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4489839"/>
        <c:crosses val="autoZero"/>
        <c:auto val="1"/>
        <c:lblAlgn val="ctr"/>
        <c:lblOffset val="100"/>
        <c:noMultiLvlLbl val="0"/>
      </c:catAx>
      <c:valAx>
        <c:axId val="1254489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155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487680</xdr:colOff>
      <xdr:row>1</xdr:row>
      <xdr:rowOff>22860</xdr:rowOff>
    </xdr:from>
    <xdr:to>
      <xdr:col>11</xdr:col>
      <xdr:colOff>53340</xdr:colOff>
      <xdr:row>14</xdr:row>
      <xdr:rowOff>137160</xdr:rowOff>
    </xdr:to>
    <xdr:graphicFrame macro="">
      <xdr:nvGraphicFramePr>
        <xdr:cNvPr id="2" name="Chart 1">
          <a:extLst>
            <a:ext uri="{FF2B5EF4-FFF2-40B4-BE49-F238E27FC236}">
              <a16:creationId xmlns:a16="http://schemas.microsoft.com/office/drawing/2014/main" id="{33A8356C-3934-4A03-A31C-6F8350AA2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594360</xdr:colOff>
      <xdr:row>0</xdr:row>
      <xdr:rowOff>83820</xdr:rowOff>
    </xdr:from>
    <xdr:to>
      <xdr:col>3</xdr:col>
      <xdr:colOff>1706880</xdr:colOff>
      <xdr:row>15</xdr:row>
      <xdr:rowOff>83820</xdr:rowOff>
    </xdr:to>
    <xdr:graphicFrame macro="">
      <xdr:nvGraphicFramePr>
        <xdr:cNvPr id="2" name="Chart 1">
          <a:extLst>
            <a:ext uri="{FF2B5EF4-FFF2-40B4-BE49-F238E27FC236}">
              <a16:creationId xmlns:a16="http://schemas.microsoft.com/office/drawing/2014/main" id="{9973563A-5EA8-43CB-9A73-43E719E03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8</xdr:row>
      <xdr:rowOff>121921</xdr:rowOff>
    </xdr:from>
    <xdr:to>
      <xdr:col>1</xdr:col>
      <xdr:colOff>967740</xdr:colOff>
      <xdr:row>16</xdr:row>
      <xdr:rowOff>53341</xdr:rowOff>
    </xdr:to>
    <mc:AlternateContent xmlns:mc="http://schemas.openxmlformats.org/markup-compatibility/2006" xmlns:a14="http://schemas.microsoft.com/office/drawing/2010/main">
      <mc:Choice Requires="a14">
        <xdr:graphicFrame macro="">
          <xdr:nvGraphicFramePr>
            <xdr:cNvPr id="3" name="Rating 2">
              <a:extLst>
                <a:ext uri="{FF2B5EF4-FFF2-40B4-BE49-F238E27FC236}">
                  <a16:creationId xmlns:a16="http://schemas.microsoft.com/office/drawing/2014/main" id="{22EECB5B-77B5-4C54-9670-D1B998CA8D9F}"/>
                </a:ext>
              </a:extLst>
            </xdr:cNvPr>
            <xdr:cNvGraphicFramePr/>
          </xdr:nvGraphicFramePr>
          <xdr:xfrm>
            <a:off x="0" y="0"/>
            <a:ext cx="0" cy="0"/>
          </xdr:xfrm>
          <a:graphic>
            <a:graphicData uri="http://schemas.microsoft.com/office/drawing/2010/slicer">
              <sle:slicer xmlns:sle="http://schemas.microsoft.com/office/drawing/2010/slicer" name="Rating 2"/>
            </a:graphicData>
          </a:graphic>
        </xdr:graphicFrame>
      </mc:Choice>
      <mc:Fallback xmlns="">
        <xdr:sp macro="" textlink="">
          <xdr:nvSpPr>
            <xdr:cNvPr id="0" name=""/>
            <xdr:cNvSpPr>
              <a:spLocks noTextEdit="1"/>
            </xdr:cNvSpPr>
          </xdr:nvSpPr>
          <xdr:spPr>
            <a:xfrm>
              <a:off x="0" y="1584961"/>
              <a:ext cx="1828800" cy="139446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167640</xdr:colOff>
      <xdr:row>1</xdr:row>
      <xdr:rowOff>0</xdr:rowOff>
    </xdr:from>
    <xdr:to>
      <xdr:col>8</xdr:col>
      <xdr:colOff>175260</xdr:colOff>
      <xdr:row>13</xdr:row>
      <xdr:rowOff>99060</xdr:rowOff>
    </xdr:to>
    <xdr:graphicFrame macro="">
      <xdr:nvGraphicFramePr>
        <xdr:cNvPr id="2" name="Chart 1">
          <a:extLst>
            <a:ext uri="{FF2B5EF4-FFF2-40B4-BE49-F238E27FC236}">
              <a16:creationId xmlns:a16="http://schemas.microsoft.com/office/drawing/2014/main" id="{EF672349-2206-4BEE-A23B-BC133FDF1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297180</xdr:colOff>
      <xdr:row>4</xdr:row>
      <xdr:rowOff>152400</xdr:rowOff>
    </xdr:from>
    <xdr:to>
      <xdr:col>7</xdr:col>
      <xdr:colOff>563880</xdr:colOff>
      <xdr:row>17</xdr:row>
      <xdr:rowOff>7620</xdr:rowOff>
    </xdr:to>
    <xdr:graphicFrame macro="">
      <xdr:nvGraphicFramePr>
        <xdr:cNvPr id="2" name="Chart 1">
          <a:extLst>
            <a:ext uri="{FF2B5EF4-FFF2-40B4-BE49-F238E27FC236}">
              <a16:creationId xmlns:a16="http://schemas.microsoft.com/office/drawing/2014/main" id="{17A3772E-6E1B-454F-ACCE-8D9276498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4137660</xdr:colOff>
      <xdr:row>14</xdr:row>
      <xdr:rowOff>30480</xdr:rowOff>
    </xdr:from>
    <xdr:to>
      <xdr:col>2</xdr:col>
      <xdr:colOff>228600</xdr:colOff>
      <xdr:row>27</xdr:row>
      <xdr:rowOff>120015</xdr:rowOff>
    </xdr:to>
    <mc:AlternateContent xmlns:mc="http://schemas.openxmlformats.org/markup-compatibility/2006" xmlns:a14="http://schemas.microsoft.com/office/drawing/2010/main">
      <mc:Choice Requires="a14">
        <xdr:graphicFrame macro="">
          <xdr:nvGraphicFramePr>
            <xdr:cNvPr id="3" name="Rating 1">
              <a:extLst>
                <a:ext uri="{FF2B5EF4-FFF2-40B4-BE49-F238E27FC236}">
                  <a16:creationId xmlns:a16="http://schemas.microsoft.com/office/drawing/2014/main" id="{A90F9AAB-008C-4510-9E7C-AA1896B88621}"/>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4137660" y="259080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2034540</xdr:colOff>
      <xdr:row>13</xdr:row>
      <xdr:rowOff>167640</xdr:rowOff>
    </xdr:from>
    <xdr:to>
      <xdr:col>0</xdr:col>
      <xdr:colOff>3863340</xdr:colOff>
      <xdr:row>27</xdr:row>
      <xdr:rowOff>74295</xdr:rowOff>
    </xdr:to>
    <mc:AlternateContent xmlns:mc="http://schemas.openxmlformats.org/markup-compatibility/2006" xmlns:a14="http://schemas.microsoft.com/office/drawing/2010/main">
      <mc:Choice Requires="a14">
        <xdr:graphicFrame macro="">
          <xdr:nvGraphicFramePr>
            <xdr:cNvPr id="4" name="Discounts">
              <a:extLst>
                <a:ext uri="{FF2B5EF4-FFF2-40B4-BE49-F238E27FC236}">
                  <a16:creationId xmlns:a16="http://schemas.microsoft.com/office/drawing/2014/main" id="{983AFB17-E693-453E-B29D-E4DB2456A4D0}"/>
                </a:ext>
              </a:extLst>
            </xdr:cNvPr>
            <xdr:cNvGraphicFramePr/>
          </xdr:nvGraphicFramePr>
          <xdr:xfrm>
            <a:off x="0" y="0"/>
            <a:ext cx="0" cy="0"/>
          </xdr:xfrm>
          <a:graphic>
            <a:graphicData uri="http://schemas.microsoft.com/office/drawing/2010/slicer">
              <sle:slicer xmlns:sle="http://schemas.microsoft.com/office/drawing/2010/slicer" name="Discounts"/>
            </a:graphicData>
          </a:graphic>
        </xdr:graphicFrame>
      </mc:Choice>
      <mc:Fallback xmlns="">
        <xdr:sp macro="" textlink="">
          <xdr:nvSpPr>
            <xdr:cNvPr id="0" name=""/>
            <xdr:cNvSpPr>
              <a:spLocks noTextEdit="1"/>
            </xdr:cNvSpPr>
          </xdr:nvSpPr>
          <xdr:spPr>
            <a:xfrm>
              <a:off x="2034540" y="254508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777240</xdr:colOff>
      <xdr:row>13</xdr:row>
      <xdr:rowOff>167640</xdr:rowOff>
    </xdr:from>
    <xdr:to>
      <xdr:col>0</xdr:col>
      <xdr:colOff>4488180</xdr:colOff>
      <xdr:row>28</xdr:row>
      <xdr:rowOff>0</xdr:rowOff>
    </xdr:to>
    <xdr:graphicFrame macro="">
      <xdr:nvGraphicFramePr>
        <xdr:cNvPr id="2" name="Chart 1">
          <a:extLst>
            <a:ext uri="{FF2B5EF4-FFF2-40B4-BE49-F238E27FC236}">
              <a16:creationId xmlns:a16="http://schemas.microsoft.com/office/drawing/2014/main" id="{98C93A79-C658-425A-A21D-4903EC8CF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4632960</xdr:colOff>
      <xdr:row>7</xdr:row>
      <xdr:rowOff>160020</xdr:rowOff>
    </xdr:from>
    <xdr:to>
      <xdr:col>2</xdr:col>
      <xdr:colOff>335280</xdr:colOff>
      <xdr:row>21</xdr:row>
      <xdr:rowOff>66675</xdr:rowOff>
    </xdr:to>
    <mc:AlternateContent xmlns:mc="http://schemas.openxmlformats.org/markup-compatibility/2006" xmlns:a14="http://schemas.microsoft.com/office/drawing/2010/main">
      <mc:Choice Requires="a14">
        <xdr:graphicFrame macro="">
          <xdr:nvGraphicFramePr>
            <xdr:cNvPr id="5" name="Rating">
              <a:extLst>
                <a:ext uri="{FF2B5EF4-FFF2-40B4-BE49-F238E27FC236}">
                  <a16:creationId xmlns:a16="http://schemas.microsoft.com/office/drawing/2014/main" id="{9CE4E1D8-1A38-41EC-9293-8C400140FEE2}"/>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4632960" y="144018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3131820</xdr:colOff>
      <xdr:row>7</xdr:row>
      <xdr:rowOff>15240</xdr:rowOff>
    </xdr:from>
    <xdr:to>
      <xdr:col>4</xdr:col>
      <xdr:colOff>480060</xdr:colOff>
      <xdr:row>22</xdr:row>
      <xdr:rowOff>15240</xdr:rowOff>
    </xdr:to>
    <xdr:graphicFrame macro="">
      <xdr:nvGraphicFramePr>
        <xdr:cNvPr id="4" name="Chart 3">
          <a:extLst>
            <a:ext uri="{FF2B5EF4-FFF2-40B4-BE49-F238E27FC236}">
              <a16:creationId xmlns:a16="http://schemas.microsoft.com/office/drawing/2014/main" id="{250E4695-D0FF-471E-954C-741D64D27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7620</xdr:colOff>
      <xdr:row>9</xdr:row>
      <xdr:rowOff>22860</xdr:rowOff>
    </xdr:from>
    <xdr:to>
      <xdr:col>10</xdr:col>
      <xdr:colOff>449580</xdr:colOff>
      <xdr:row>24</xdr:row>
      <xdr:rowOff>22860</xdr:rowOff>
    </xdr:to>
    <xdr:graphicFrame macro="">
      <xdr:nvGraphicFramePr>
        <xdr:cNvPr id="2" name="Chart 1">
          <a:extLst>
            <a:ext uri="{FF2B5EF4-FFF2-40B4-BE49-F238E27FC236}">
              <a16:creationId xmlns:a16="http://schemas.microsoft.com/office/drawing/2014/main" id="{492C29D0-B5AA-405D-9699-985E15C32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114300</xdr:colOff>
      <xdr:row>8</xdr:row>
      <xdr:rowOff>22861</xdr:rowOff>
    </xdr:from>
    <xdr:to>
      <xdr:col>16</xdr:col>
      <xdr:colOff>114300</xdr:colOff>
      <xdr:row>14</xdr:row>
      <xdr:rowOff>160021</xdr:rowOff>
    </xdr:to>
    <mc:AlternateContent xmlns:mc="http://schemas.openxmlformats.org/markup-compatibility/2006" xmlns:a14="http://schemas.microsoft.com/office/drawing/2010/main">
      <mc:Choice Requires="a14">
        <xdr:graphicFrame macro="">
          <xdr:nvGraphicFramePr>
            <xdr:cNvPr id="3" name="Discounts 2">
              <a:extLst>
                <a:ext uri="{FF2B5EF4-FFF2-40B4-BE49-F238E27FC236}">
                  <a16:creationId xmlns:a16="http://schemas.microsoft.com/office/drawing/2014/main" id="{3229B014-5364-497F-B51E-0A1D196772AF}"/>
                </a:ext>
              </a:extLst>
            </xdr:cNvPr>
            <xdr:cNvGraphicFramePr/>
          </xdr:nvGraphicFramePr>
          <xdr:xfrm>
            <a:off x="0" y="0"/>
            <a:ext cx="0" cy="0"/>
          </xdr:xfrm>
          <a:graphic>
            <a:graphicData uri="http://schemas.microsoft.com/office/drawing/2010/slicer">
              <sle:slicer xmlns:sle="http://schemas.microsoft.com/office/drawing/2010/slicer" name="Discounts 2"/>
            </a:graphicData>
          </a:graphic>
        </xdr:graphicFrame>
      </mc:Choice>
      <mc:Fallback xmlns="">
        <xdr:sp macro="" textlink="">
          <xdr:nvSpPr>
            <xdr:cNvPr id="0" name=""/>
            <xdr:cNvSpPr>
              <a:spLocks noTextEdit="1"/>
            </xdr:cNvSpPr>
          </xdr:nvSpPr>
          <xdr:spPr>
            <a:xfrm>
              <a:off x="9067800" y="1485901"/>
              <a:ext cx="1828800" cy="123444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525780</xdr:colOff>
      <xdr:row>2</xdr:row>
      <xdr:rowOff>7620</xdr:rowOff>
    </xdr:from>
    <xdr:to>
      <xdr:col>10</xdr:col>
      <xdr:colOff>220980</xdr:colOff>
      <xdr:row>17</xdr:row>
      <xdr:rowOff>7620</xdr:rowOff>
    </xdr:to>
    <xdr:graphicFrame macro="">
      <xdr:nvGraphicFramePr>
        <xdr:cNvPr id="2" name="Chart 1">
          <a:extLst>
            <a:ext uri="{FF2B5EF4-FFF2-40B4-BE49-F238E27FC236}">
              <a16:creationId xmlns:a16="http://schemas.microsoft.com/office/drawing/2014/main" id="{DEE8A385-F0D8-4628-A366-EB76E38A7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403860</xdr:colOff>
      <xdr:row>0</xdr:row>
      <xdr:rowOff>38100</xdr:rowOff>
    </xdr:from>
    <xdr:to>
      <xdr:col>8</xdr:col>
      <xdr:colOff>350520</xdr:colOff>
      <xdr:row>12</xdr:row>
      <xdr:rowOff>121920</xdr:rowOff>
    </xdr:to>
    <xdr:graphicFrame macro="">
      <xdr:nvGraphicFramePr>
        <xdr:cNvPr id="4" name="Chart 3">
          <a:extLst>
            <a:ext uri="{FF2B5EF4-FFF2-40B4-BE49-F238E27FC236}">
              <a16:creationId xmlns:a16="http://schemas.microsoft.com/office/drawing/2014/main" id="{5A8F076F-CAE7-4C16-A23F-45B490214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144780</xdr:colOff>
      <xdr:row>14</xdr:row>
      <xdr:rowOff>22860</xdr:rowOff>
    </xdr:from>
    <xdr:to>
      <xdr:col>1</xdr:col>
      <xdr:colOff>342900</xdr:colOff>
      <xdr:row>29</xdr:row>
      <xdr:rowOff>22860</xdr:rowOff>
    </xdr:to>
    <xdr:graphicFrame macro="">
      <xdr:nvGraphicFramePr>
        <xdr:cNvPr id="2" name="Chart 1">
          <a:extLst>
            <a:ext uri="{FF2B5EF4-FFF2-40B4-BE49-F238E27FC236}">
              <a16:creationId xmlns:a16="http://schemas.microsoft.com/office/drawing/2014/main" id="{A47DAD6D-B3E9-453F-A389-CCF555BAC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365760</xdr:colOff>
      <xdr:row>2</xdr:row>
      <xdr:rowOff>91441</xdr:rowOff>
    </xdr:from>
    <xdr:to>
      <xdr:col>2</xdr:col>
      <xdr:colOff>2194560</xdr:colOff>
      <xdr:row>9</xdr:row>
      <xdr:rowOff>15241</xdr:rowOff>
    </xdr:to>
    <mc:AlternateContent xmlns:mc="http://schemas.openxmlformats.org/markup-compatibility/2006" xmlns:a14="http://schemas.microsoft.com/office/drawing/2010/main">
      <mc:Choice Requires="a14">
        <xdr:graphicFrame macro="">
          <xdr:nvGraphicFramePr>
            <xdr:cNvPr id="3" name="Rating 3">
              <a:extLst>
                <a:ext uri="{FF2B5EF4-FFF2-40B4-BE49-F238E27FC236}">
                  <a16:creationId xmlns:a16="http://schemas.microsoft.com/office/drawing/2014/main" id="{D8734E1F-4D23-49EF-9BEE-B9B577AC5A6F}"/>
                </a:ext>
              </a:extLst>
            </xdr:cNvPr>
            <xdr:cNvGraphicFramePr/>
          </xdr:nvGraphicFramePr>
          <xdr:xfrm>
            <a:off x="0" y="0"/>
            <a:ext cx="0" cy="0"/>
          </xdr:xfrm>
          <a:graphic>
            <a:graphicData uri="http://schemas.microsoft.com/office/drawing/2010/slicer">
              <sle:slicer xmlns:sle="http://schemas.microsoft.com/office/drawing/2010/slicer" name="Rating 3"/>
            </a:graphicData>
          </a:graphic>
        </xdr:graphicFrame>
      </mc:Choice>
      <mc:Fallback xmlns="">
        <xdr:sp macro="" textlink="">
          <xdr:nvSpPr>
            <xdr:cNvPr id="0" name=""/>
            <xdr:cNvSpPr>
              <a:spLocks noTextEdit="1"/>
            </xdr:cNvSpPr>
          </xdr:nvSpPr>
          <xdr:spPr>
            <a:xfrm>
              <a:off x="5798820" y="457201"/>
              <a:ext cx="1828800" cy="120396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3131820</xdr:colOff>
      <xdr:row>7</xdr:row>
      <xdr:rowOff>15240</xdr:rowOff>
    </xdr:from>
    <xdr:to>
      <xdr:col>4</xdr:col>
      <xdr:colOff>327660</xdr:colOff>
      <xdr:row>22</xdr:row>
      <xdr:rowOff>15240</xdr:rowOff>
    </xdr:to>
    <xdr:graphicFrame macro="">
      <xdr:nvGraphicFramePr>
        <xdr:cNvPr id="2" name="Chart 1">
          <a:extLst>
            <a:ext uri="{FF2B5EF4-FFF2-40B4-BE49-F238E27FC236}">
              <a16:creationId xmlns:a16="http://schemas.microsoft.com/office/drawing/2014/main" id="{6E340BCA-F199-42AD-BC3E-783FC48BB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30480</xdr:colOff>
      <xdr:row>1</xdr:row>
      <xdr:rowOff>7620</xdr:rowOff>
    </xdr:from>
    <xdr:to>
      <xdr:col>16</xdr:col>
      <xdr:colOff>175260</xdr:colOff>
      <xdr:row>3</xdr:row>
      <xdr:rowOff>175260</xdr:rowOff>
    </xdr:to>
    <xdr:sp macro="" textlink="">
      <xdr:nvSpPr>
        <xdr:cNvPr id="2" name="Rectangle: Rounded Corners 1">
          <a:extLst>
            <a:ext uri="{FF2B5EF4-FFF2-40B4-BE49-F238E27FC236}">
              <a16:creationId xmlns:a16="http://schemas.microsoft.com/office/drawing/2014/main" id="{1D36C2E1-3022-484F-A3C1-23B97B2580CC}"/>
            </a:ext>
          </a:extLst>
        </xdr:cNvPr>
        <xdr:cNvSpPr/>
      </xdr:nvSpPr>
      <xdr:spPr>
        <a:xfrm>
          <a:off x="3688080" y="190500"/>
          <a:ext cx="6240780" cy="53340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50000" t="50000" r="50000" b="50000"/>
          </a:path>
          <a:tileRect/>
        </a:gradFill>
        <a:ln>
          <a:noFill/>
        </a:ln>
        <a:scene3d>
          <a:camera prst="orthographicFront"/>
          <a:lightRig rig="threePt" dir="t"/>
        </a:scene3d>
        <a:sp3d>
          <a:bevelT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2400" b="1">
              <a:latin typeface="OCR A Extended" panose="02010509020102010303" pitchFamily="50" charset="0"/>
            </a:rPr>
            <a:t>JUMIA PRODUCT SALES DASHBOARD</a:t>
          </a:r>
          <a:endParaRPr lang="en-KE" sz="2400" b="1">
            <a:latin typeface="OCR A Extended" panose="02010509020102010303" pitchFamily="50" charset="0"/>
          </a:endParaRPr>
        </a:p>
      </xdr:txBody>
    </xdr:sp>
    <xdr:clientData/>
  </xdr:twoCellAnchor>
  <xdr:twoCellAnchor>
    <xdr:from>
      <xdr:col>4</xdr:col>
      <xdr:colOff>411480</xdr:colOff>
      <xdr:row>6</xdr:row>
      <xdr:rowOff>99060</xdr:rowOff>
    </xdr:from>
    <xdr:to>
      <xdr:col>7</xdr:col>
      <xdr:colOff>251460</xdr:colOff>
      <xdr:row>9</xdr:row>
      <xdr:rowOff>38100</xdr:rowOff>
    </xdr:to>
    <xdr:sp macro="" textlink="">
      <xdr:nvSpPr>
        <xdr:cNvPr id="3" name="Rectangle: Rounded Corners 2">
          <a:extLst>
            <a:ext uri="{FF2B5EF4-FFF2-40B4-BE49-F238E27FC236}">
              <a16:creationId xmlns:a16="http://schemas.microsoft.com/office/drawing/2014/main" id="{529CD5CA-8EAC-4C32-875A-560055FCE786}"/>
            </a:ext>
          </a:extLst>
        </xdr:cNvPr>
        <xdr:cNvSpPr/>
      </xdr:nvSpPr>
      <xdr:spPr>
        <a:xfrm>
          <a:off x="2849880" y="1196340"/>
          <a:ext cx="1668780" cy="487680"/>
        </a:xfrm>
        <a:prstGeom prst="roundRect">
          <a:avLst/>
        </a:prstGeom>
        <a:scene3d>
          <a:camera prst="orthographicFront"/>
          <a:lightRig rig="threePt" dir="t"/>
        </a:scene3d>
        <a:sp3d>
          <a:bevelT prst="slop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Total products</a:t>
          </a:r>
          <a:r>
            <a:rPr lang="en-US" sz="1100" b="1" baseline="0">
              <a:solidFill>
                <a:schemeClr val="bg1"/>
              </a:solidFill>
            </a:rPr>
            <a:t> : 110</a:t>
          </a:r>
          <a:endParaRPr lang="en-KE" sz="1100" b="1">
            <a:solidFill>
              <a:schemeClr val="bg1"/>
            </a:solidFill>
          </a:endParaRPr>
        </a:p>
      </xdr:txBody>
    </xdr:sp>
    <xdr:clientData/>
  </xdr:twoCellAnchor>
  <xdr:twoCellAnchor>
    <xdr:from>
      <xdr:col>8</xdr:col>
      <xdr:colOff>15240</xdr:colOff>
      <xdr:row>6</xdr:row>
      <xdr:rowOff>60960</xdr:rowOff>
    </xdr:from>
    <xdr:to>
      <xdr:col>10</xdr:col>
      <xdr:colOff>487680</xdr:colOff>
      <xdr:row>9</xdr:row>
      <xdr:rowOff>53340</xdr:rowOff>
    </xdr:to>
    <xdr:sp macro="" textlink="">
      <xdr:nvSpPr>
        <xdr:cNvPr id="4" name="Rectangle: Rounded Corners 3">
          <a:extLst>
            <a:ext uri="{FF2B5EF4-FFF2-40B4-BE49-F238E27FC236}">
              <a16:creationId xmlns:a16="http://schemas.microsoft.com/office/drawing/2014/main" id="{8568C0DB-D1C5-41A9-8868-2DA341CE3998}"/>
            </a:ext>
          </a:extLst>
        </xdr:cNvPr>
        <xdr:cNvSpPr/>
      </xdr:nvSpPr>
      <xdr:spPr>
        <a:xfrm>
          <a:off x="4892040" y="1158240"/>
          <a:ext cx="1691640" cy="541020"/>
        </a:xfrm>
        <a:prstGeom prst="roundRect">
          <a:avLst/>
        </a:prstGeom>
        <a:scene3d>
          <a:camera prst="orthographicFront"/>
          <a:lightRig rig="threePt" dir="t"/>
        </a:scene3d>
        <a:sp3d>
          <a:bevelT prst="slop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AVERAGE</a:t>
          </a:r>
          <a:r>
            <a:rPr lang="en-US" sz="1100" baseline="0">
              <a:solidFill>
                <a:schemeClr val="bg1"/>
              </a:solidFill>
            </a:rPr>
            <a:t> RATING</a:t>
          </a:r>
          <a:r>
            <a:rPr lang="en-US" sz="1100" b="1" baseline="0">
              <a:solidFill>
                <a:schemeClr val="bg1"/>
              </a:solidFill>
            </a:rPr>
            <a:t>: </a:t>
          </a:r>
          <a:r>
            <a:rPr lang="en-KE" sz="1100" b="1" i="0" u="none" strike="noStrike">
              <a:solidFill>
                <a:schemeClr val="bg1"/>
              </a:solidFill>
              <a:effectLst/>
              <a:latin typeface="+mn-lt"/>
              <a:ea typeface="+mn-ea"/>
              <a:cs typeface="+mn-cs"/>
            </a:rPr>
            <a:t>1.927826087</a:t>
          </a:r>
          <a:r>
            <a:rPr lang="en-KE" b="1">
              <a:solidFill>
                <a:schemeClr val="bg1"/>
              </a:solidFill>
            </a:rPr>
            <a:t> </a:t>
          </a:r>
          <a:endParaRPr lang="en-KE" sz="1100" b="1">
            <a:solidFill>
              <a:schemeClr val="bg1"/>
            </a:solidFill>
          </a:endParaRPr>
        </a:p>
      </xdr:txBody>
    </xdr:sp>
    <xdr:clientData/>
  </xdr:twoCellAnchor>
  <xdr:twoCellAnchor>
    <xdr:from>
      <xdr:col>14</xdr:col>
      <xdr:colOff>495300</xdr:colOff>
      <xdr:row>6</xdr:row>
      <xdr:rowOff>68580</xdr:rowOff>
    </xdr:from>
    <xdr:to>
      <xdr:col>17</xdr:col>
      <xdr:colOff>327660</xdr:colOff>
      <xdr:row>9</xdr:row>
      <xdr:rowOff>7620</xdr:rowOff>
    </xdr:to>
    <xdr:sp macro="" textlink="">
      <xdr:nvSpPr>
        <xdr:cNvPr id="8" name="Rectangle: Rounded Corners 7">
          <a:extLst>
            <a:ext uri="{FF2B5EF4-FFF2-40B4-BE49-F238E27FC236}">
              <a16:creationId xmlns:a16="http://schemas.microsoft.com/office/drawing/2014/main" id="{7D2523D7-C4F4-4724-B022-0ECC6282FCF9}"/>
            </a:ext>
          </a:extLst>
        </xdr:cNvPr>
        <xdr:cNvSpPr/>
      </xdr:nvSpPr>
      <xdr:spPr>
        <a:xfrm>
          <a:off x="9029700" y="1165860"/>
          <a:ext cx="1661160" cy="487680"/>
        </a:xfrm>
        <a:prstGeom prst="roundRect">
          <a:avLst/>
        </a:prstGeom>
        <a:scene3d>
          <a:camera prst="orthographicFront"/>
          <a:lightRig rig="threePt" dir="t"/>
        </a:scene3d>
        <a:sp3d>
          <a:bevelT prst="slop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TOTAL REVIEWS: </a:t>
          </a:r>
          <a:r>
            <a:rPr lang="en-KE" sz="1100" b="1" i="0" u="none" strike="noStrike">
              <a:solidFill>
                <a:schemeClr val="bg1"/>
              </a:solidFill>
              <a:effectLst/>
              <a:latin typeface="+mn-lt"/>
              <a:ea typeface="+mn-ea"/>
              <a:cs typeface="+mn-cs"/>
            </a:rPr>
            <a:t>678</a:t>
          </a:r>
          <a:r>
            <a:rPr lang="en-KE" b="1">
              <a:solidFill>
                <a:schemeClr val="bg1"/>
              </a:solidFill>
            </a:rPr>
            <a:t> </a:t>
          </a:r>
          <a:endParaRPr lang="en-KE" sz="1100" b="1">
            <a:solidFill>
              <a:schemeClr val="bg1"/>
            </a:solidFill>
          </a:endParaRPr>
        </a:p>
      </xdr:txBody>
    </xdr:sp>
    <xdr:clientData/>
  </xdr:twoCellAnchor>
  <xdr:twoCellAnchor>
    <xdr:from>
      <xdr:col>11</xdr:col>
      <xdr:colOff>274320</xdr:colOff>
      <xdr:row>6</xdr:row>
      <xdr:rowOff>68580</xdr:rowOff>
    </xdr:from>
    <xdr:to>
      <xdr:col>14</xdr:col>
      <xdr:colOff>114300</xdr:colOff>
      <xdr:row>9</xdr:row>
      <xdr:rowOff>7620</xdr:rowOff>
    </xdr:to>
    <xdr:sp macro="" textlink="">
      <xdr:nvSpPr>
        <xdr:cNvPr id="9" name="Rectangle: Rounded Corners 8">
          <a:extLst>
            <a:ext uri="{FF2B5EF4-FFF2-40B4-BE49-F238E27FC236}">
              <a16:creationId xmlns:a16="http://schemas.microsoft.com/office/drawing/2014/main" id="{06F7DD94-117F-4B6E-A17B-F9504EB91B64}"/>
            </a:ext>
          </a:extLst>
        </xdr:cNvPr>
        <xdr:cNvSpPr/>
      </xdr:nvSpPr>
      <xdr:spPr>
        <a:xfrm>
          <a:off x="6979920" y="1165860"/>
          <a:ext cx="1668780" cy="487680"/>
        </a:xfrm>
        <a:prstGeom prst="roundRect">
          <a:avLst/>
        </a:prstGeom>
        <a:scene3d>
          <a:camera prst="orthographicFront"/>
          <a:lightRig rig="threePt" dir="t"/>
        </a:scene3d>
        <a:sp3d>
          <a:bevelT prst="slop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AVERAGE</a:t>
          </a:r>
          <a:r>
            <a:rPr lang="en-US" sz="1100" b="1" baseline="0">
              <a:solidFill>
                <a:schemeClr val="bg1"/>
              </a:solidFill>
            </a:rPr>
            <a:t> DISCOUNT(%) :</a:t>
          </a:r>
          <a:r>
            <a:rPr lang="en-KE" sz="1100" b="1" i="0" u="none" strike="noStrike">
              <a:solidFill>
                <a:schemeClr val="bg1"/>
              </a:solidFill>
              <a:effectLst/>
              <a:latin typeface="+mn-lt"/>
              <a:ea typeface="+mn-ea"/>
              <a:cs typeface="+mn-cs"/>
            </a:rPr>
            <a:t>37%</a:t>
          </a:r>
          <a:r>
            <a:rPr lang="en-KE" b="1">
              <a:solidFill>
                <a:schemeClr val="bg1"/>
              </a:solidFill>
            </a:rPr>
            <a:t> </a:t>
          </a:r>
          <a:endParaRPr lang="en-KE" sz="1100" b="1">
            <a:solidFill>
              <a:schemeClr val="bg1"/>
            </a:solidFill>
          </a:endParaRPr>
        </a:p>
      </xdr:txBody>
    </xdr:sp>
    <xdr:clientData/>
  </xdr:twoCellAnchor>
  <xdr:twoCellAnchor>
    <xdr:from>
      <xdr:col>6</xdr:col>
      <xdr:colOff>213360</xdr:colOff>
      <xdr:row>22</xdr:row>
      <xdr:rowOff>144780</xdr:rowOff>
    </xdr:from>
    <xdr:to>
      <xdr:col>12</xdr:col>
      <xdr:colOff>213360</xdr:colOff>
      <xdr:row>35</xdr:row>
      <xdr:rowOff>45720</xdr:rowOff>
    </xdr:to>
    <xdr:graphicFrame macro="">
      <xdr:nvGraphicFramePr>
        <xdr:cNvPr id="15" name="Chart 14">
          <a:extLst>
            <a:ext uri="{FF2B5EF4-FFF2-40B4-BE49-F238E27FC236}">
              <a16:creationId xmlns:a16="http://schemas.microsoft.com/office/drawing/2014/main" id="{BB2A31C6-B674-4E34-B4F3-CA2F443F5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205740</xdr:colOff>
      <xdr:row>35</xdr:row>
      <xdr:rowOff>137160</xdr:rowOff>
    </xdr:from>
    <xdr:to>
      <xdr:col>12</xdr:col>
      <xdr:colOff>220980</xdr:colOff>
      <xdr:row>47</xdr:row>
      <xdr:rowOff>60960</xdr:rowOff>
    </xdr:to>
    <xdr:graphicFrame macro="">
      <xdr:nvGraphicFramePr>
        <xdr:cNvPr id="17" name="Chart 16">
          <a:extLst>
            <a:ext uri="{FF2B5EF4-FFF2-40B4-BE49-F238E27FC236}">
              <a16:creationId xmlns:a16="http://schemas.microsoft.com/office/drawing/2014/main" id="{914E385F-551D-4FD6-A23C-D5F7A334B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297180</xdr:colOff>
      <xdr:row>35</xdr:row>
      <xdr:rowOff>129540</xdr:rowOff>
    </xdr:from>
    <xdr:to>
      <xdr:col>19</xdr:col>
      <xdr:colOff>152400</xdr:colOff>
      <xdr:row>47</xdr:row>
      <xdr:rowOff>53340</xdr:rowOff>
    </xdr:to>
    <xdr:graphicFrame macro="">
      <xdr:nvGraphicFramePr>
        <xdr:cNvPr id="18" name="Chart 17">
          <a:extLst>
            <a:ext uri="{FF2B5EF4-FFF2-40B4-BE49-F238E27FC236}">
              <a16:creationId xmlns:a16="http://schemas.microsoft.com/office/drawing/2014/main" id="{ACCE9770-F57F-4F00-A15A-046D243BA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320040</xdr:colOff>
      <xdr:row>22</xdr:row>
      <xdr:rowOff>152400</xdr:rowOff>
    </xdr:from>
    <xdr:to>
      <xdr:col>19</xdr:col>
      <xdr:colOff>160020</xdr:colOff>
      <xdr:row>35</xdr:row>
      <xdr:rowOff>53340</xdr:rowOff>
    </xdr:to>
    <xdr:graphicFrame macro="">
      <xdr:nvGraphicFramePr>
        <xdr:cNvPr id="22" name="Chart 21">
          <a:extLst>
            <a:ext uri="{FF2B5EF4-FFF2-40B4-BE49-F238E27FC236}">
              <a16:creationId xmlns:a16="http://schemas.microsoft.com/office/drawing/2014/main" id="{B31582DA-97EB-487C-AED4-7E6290E44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350520</xdr:colOff>
      <xdr:row>11</xdr:row>
      <xdr:rowOff>99061</xdr:rowOff>
    </xdr:from>
    <xdr:to>
      <xdr:col>5</xdr:col>
      <xdr:colOff>350520</xdr:colOff>
      <xdr:row>18</xdr:row>
      <xdr:rowOff>1</xdr:rowOff>
    </xdr:to>
    <mc:AlternateContent xmlns:mc="http://schemas.openxmlformats.org/markup-compatibility/2006" xmlns:a14="http://schemas.microsoft.com/office/drawing/2010/main">
      <mc:Choice Requires="a14">
        <xdr:graphicFrame macro="">
          <xdr:nvGraphicFramePr>
            <xdr:cNvPr id="27" name="Discounts 5">
              <a:extLst>
                <a:ext uri="{FF2B5EF4-FFF2-40B4-BE49-F238E27FC236}">
                  <a16:creationId xmlns:a16="http://schemas.microsoft.com/office/drawing/2014/main" id="{CBD2EC8B-3F8A-4207-81B7-DB840F171701}"/>
                </a:ext>
              </a:extLst>
            </xdr:cNvPr>
            <xdr:cNvGraphicFramePr/>
          </xdr:nvGraphicFramePr>
          <xdr:xfrm>
            <a:off x="0" y="0"/>
            <a:ext cx="0" cy="0"/>
          </xdr:xfrm>
          <a:graphic>
            <a:graphicData uri="http://schemas.microsoft.com/office/drawing/2010/slicer">
              <sle:slicer xmlns:sle="http://schemas.microsoft.com/office/drawing/2010/slicer" name="Discounts 5"/>
            </a:graphicData>
          </a:graphic>
        </xdr:graphicFrame>
      </mc:Choice>
      <mc:Fallback xmlns="">
        <xdr:sp macro="" textlink="">
          <xdr:nvSpPr>
            <xdr:cNvPr id="0" name=""/>
            <xdr:cNvSpPr>
              <a:spLocks noTextEdit="1"/>
            </xdr:cNvSpPr>
          </xdr:nvSpPr>
          <xdr:spPr>
            <a:xfrm>
              <a:off x="1569720" y="2110741"/>
              <a:ext cx="1828800" cy="11811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350520</xdr:colOff>
      <xdr:row>18</xdr:row>
      <xdr:rowOff>160021</xdr:rowOff>
    </xdr:from>
    <xdr:to>
      <xdr:col>5</xdr:col>
      <xdr:colOff>350520</xdr:colOff>
      <xdr:row>25</xdr:row>
      <xdr:rowOff>121921</xdr:rowOff>
    </xdr:to>
    <mc:AlternateContent xmlns:mc="http://schemas.openxmlformats.org/markup-compatibility/2006" xmlns:a14="http://schemas.microsoft.com/office/drawing/2010/main">
      <mc:Choice Requires="a14">
        <xdr:graphicFrame macro="">
          <xdr:nvGraphicFramePr>
            <xdr:cNvPr id="28" name="Rating 4">
              <a:extLst>
                <a:ext uri="{FF2B5EF4-FFF2-40B4-BE49-F238E27FC236}">
                  <a16:creationId xmlns:a16="http://schemas.microsoft.com/office/drawing/2014/main" id="{010D4CFE-1121-4B83-AA7C-62DC7C4AD68B}"/>
                </a:ext>
              </a:extLst>
            </xdr:cNvPr>
            <xdr:cNvGraphicFramePr/>
          </xdr:nvGraphicFramePr>
          <xdr:xfrm>
            <a:off x="0" y="0"/>
            <a:ext cx="0" cy="0"/>
          </xdr:xfrm>
          <a:graphic>
            <a:graphicData uri="http://schemas.microsoft.com/office/drawing/2010/slicer">
              <sle:slicer xmlns:sle="http://schemas.microsoft.com/office/drawing/2010/slicer" name="Rating 4"/>
            </a:graphicData>
          </a:graphic>
        </xdr:graphicFrame>
      </mc:Choice>
      <mc:Fallback xmlns="">
        <xdr:sp macro="" textlink="">
          <xdr:nvSpPr>
            <xdr:cNvPr id="0" name=""/>
            <xdr:cNvSpPr>
              <a:spLocks noTextEdit="1"/>
            </xdr:cNvSpPr>
          </xdr:nvSpPr>
          <xdr:spPr>
            <a:xfrm>
              <a:off x="1569720" y="3451861"/>
              <a:ext cx="1828800" cy="124206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236220</xdr:colOff>
      <xdr:row>10</xdr:row>
      <xdr:rowOff>45720</xdr:rowOff>
    </xdr:from>
    <xdr:to>
      <xdr:col>12</xdr:col>
      <xdr:colOff>243840</xdr:colOff>
      <xdr:row>22</xdr:row>
      <xdr:rowOff>91440</xdr:rowOff>
    </xdr:to>
    <xdr:graphicFrame macro="">
      <xdr:nvGraphicFramePr>
        <xdr:cNvPr id="19" name="Chart 18">
          <a:extLst>
            <a:ext uri="{FF2B5EF4-FFF2-40B4-BE49-F238E27FC236}">
              <a16:creationId xmlns:a16="http://schemas.microsoft.com/office/drawing/2014/main" id="{B973AC67-6C64-4E2B-8363-191E2BE90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320040</xdr:colOff>
      <xdr:row>10</xdr:row>
      <xdr:rowOff>53340</xdr:rowOff>
    </xdr:from>
    <xdr:to>
      <xdr:col>19</xdr:col>
      <xdr:colOff>137160</xdr:colOff>
      <xdr:row>22</xdr:row>
      <xdr:rowOff>114300</xdr:rowOff>
    </xdr:to>
    <xdr:graphicFrame macro="">
      <xdr:nvGraphicFramePr>
        <xdr:cNvPr id="20" name="Chart 19">
          <a:extLst>
            <a:ext uri="{FF2B5EF4-FFF2-40B4-BE49-F238E27FC236}">
              <a16:creationId xmlns:a16="http://schemas.microsoft.com/office/drawing/2014/main" id="{3A439C92-799F-4EA0-8E20-50E3D3710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0</xdr:colOff>
      <xdr:row>23</xdr:row>
      <xdr:rowOff>91440</xdr:rowOff>
    </xdr:from>
    <xdr:to>
      <xdr:col>24</xdr:col>
      <xdr:colOff>579120</xdr:colOff>
      <xdr:row>28</xdr:row>
      <xdr:rowOff>22860</xdr:rowOff>
    </xdr:to>
    <xdr:sp macro="" textlink="">
      <xdr:nvSpPr>
        <xdr:cNvPr id="5" name="TextBox 4">
          <a:extLst>
            <a:ext uri="{FF2B5EF4-FFF2-40B4-BE49-F238E27FC236}">
              <a16:creationId xmlns:a16="http://schemas.microsoft.com/office/drawing/2014/main" id="{7509FDF5-F46C-46D6-8F91-F3C1C6E7E735}"/>
            </a:ext>
          </a:extLst>
        </xdr:cNvPr>
        <xdr:cNvSpPr txBox="1"/>
      </xdr:nvSpPr>
      <xdr:spPr>
        <a:xfrm>
          <a:off x="12192000" y="4297680"/>
          <a:ext cx="3017520" cy="845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Therefore, high discount does not mean higher reviews,</a:t>
          </a:r>
          <a:r>
            <a:rPr lang="en-US"/>
            <a:t> </a:t>
          </a:r>
          <a:r>
            <a:rPr lang="en-US" sz="1100" b="0" i="0" u="none" strike="noStrike">
              <a:solidFill>
                <a:schemeClr val="dk1"/>
              </a:solidFill>
              <a:effectLst/>
              <a:latin typeface="+mn-lt"/>
              <a:ea typeface="+mn-ea"/>
              <a:cs typeface="+mn-cs"/>
            </a:rPr>
            <a:t>From the data medium doscounted products have highest reviews</a:t>
          </a:r>
          <a:r>
            <a:rPr lang="en-US"/>
            <a:t> </a:t>
          </a:r>
          <a:endParaRPr lang="en-KE" sz="1100"/>
        </a:p>
      </xdr:txBody>
    </xdr:sp>
    <xdr:clientData/>
  </xdr:twoCellAnchor>
  <xdr:twoCellAnchor>
    <xdr:from>
      <xdr:col>19</xdr:col>
      <xdr:colOff>137160</xdr:colOff>
      <xdr:row>25</xdr:row>
      <xdr:rowOff>148590</xdr:rowOff>
    </xdr:from>
    <xdr:to>
      <xdr:col>20</xdr:col>
      <xdr:colOff>0</xdr:colOff>
      <xdr:row>27</xdr:row>
      <xdr:rowOff>15240</xdr:rowOff>
    </xdr:to>
    <xdr:cxnSp macro="">
      <xdr:nvCxnSpPr>
        <xdr:cNvPr id="7" name="Straight Arrow Connector 6">
          <a:extLst>
            <a:ext uri="{FF2B5EF4-FFF2-40B4-BE49-F238E27FC236}">
              <a16:creationId xmlns:a16="http://schemas.microsoft.com/office/drawing/2014/main" id="{090A9964-DCE4-47B6-9C78-B091200C31D8}"/>
            </a:ext>
          </a:extLst>
        </xdr:cNvPr>
        <xdr:cNvCxnSpPr>
          <a:endCxn id="5" idx="1"/>
        </xdr:cNvCxnSpPr>
      </xdr:nvCxnSpPr>
      <xdr:spPr>
        <a:xfrm flipV="1">
          <a:off x="11719560" y="4720590"/>
          <a:ext cx="472440" cy="2324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48.44626759259" createdVersion="6" refreshedVersion="6" minRefreshableVersion="3" recordCount="115" xr:uid="{00000000-000A-0000-FFFF-FFFF2B000000}">
  <cacheSource type="worksheet">
    <worksheetSource ref="A1:M116" sheet="Working sheet"/>
  </cacheSource>
  <cacheFields count="11">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2">
      <sharedItems containsBlank="1" containsMixedTypes="1" containsNumber="1" containsInteger="1" minValue="38" maxValue="3750" count="101">
        <n v="950"/>
        <n v="527"/>
        <n v="2199"/>
        <n v="1580"/>
        <n v="1740"/>
        <n v="2999"/>
        <n v="2319"/>
        <n v="988"/>
        <n v="1274"/>
        <n v="1600"/>
        <n v="799"/>
        <n v="990"/>
        <n v="552"/>
        <n v="501"/>
        <n v="1680"/>
        <n v="332"/>
        <n v="195"/>
        <n v="2025"/>
        <n v="998"/>
        <n v="38"/>
        <n v="1860"/>
        <n v="880"/>
        <n v="1650"/>
        <n v="2048"/>
        <n v="420"/>
        <n v="2880"/>
        <n v="1350"/>
        <n v="1758"/>
        <n v="2200"/>
        <n v="185"/>
        <n v="980"/>
        <n v="1820"/>
        <n v="1940"/>
        <n v="1980"/>
        <n v="1620"/>
        <n v="171"/>
        <n v="389"/>
        <s v=" 1,620 -  1,980"/>
        <n v="2750"/>
        <n v="475"/>
        <n v="238"/>
        <n v="610"/>
        <n v="2132"/>
        <n v="999"/>
        <n v="1190"/>
        <n v="671"/>
        <n v="1200"/>
        <n v="199"/>
        <n v="299"/>
        <n v="1660"/>
        <n v="1459"/>
        <n v="499"/>
        <n v="699"/>
        <n v="2799"/>
        <n v="2170"/>
        <n v="458"/>
        <n v="2115"/>
        <n v="445"/>
        <n v="325"/>
        <n v="1220"/>
        <n v="1000"/>
        <n v="3750"/>
        <n v="382"/>
        <n v="2300"/>
        <n v="345"/>
        <n v="509"/>
        <n v="968"/>
        <n v="1570"/>
        <n v="790"/>
        <n v="690"/>
        <n v="1732"/>
        <n v="230"/>
        <n v="1189"/>
        <n v="979"/>
        <n v="1460"/>
        <n v="1666"/>
        <n v="330"/>
        <n v="1466"/>
        <n v="274"/>
        <n v="1468"/>
        <n v="630"/>
        <n v="850"/>
        <n v="1300"/>
        <n v="105"/>
        <n v="899"/>
        <n v="1526"/>
        <n v="1462"/>
        <n v="248"/>
        <n v="3546"/>
        <n v="525"/>
        <n v="1080"/>
        <n v="3640"/>
        <n v="1420"/>
        <n v="1875"/>
        <n v="198"/>
        <n v="1150"/>
        <n v="1658"/>
        <n v="1768"/>
        <n v="450"/>
        <n v="169"/>
        <m/>
      </sharedItems>
    </cacheField>
    <cacheField name="old price" numFmtId="2">
      <sharedItems containsBlank="1" containsMixedTypes="1" containsNumber="1" containsInteger="1" minValue="80" maxValue="6143" count="91">
        <n v="1525"/>
        <n v="999"/>
        <n v="2923"/>
        <n v="2499"/>
        <n v="2356"/>
        <n v="3290"/>
        <n v="3032"/>
        <n v="1580"/>
        <n v="2800"/>
        <n v="2929"/>
        <n v="1500"/>
        <n v="1035"/>
        <n v="860"/>
        <n v="684"/>
        <n v="360"/>
        <n v="3971"/>
        <n v="3699"/>
        <n v="1966"/>
        <n v="80"/>
        <n v="3220"/>
        <n v="1350"/>
        <n v="2150"/>
        <n v="4500"/>
        <n v="647"/>
        <n v="3520"/>
        <n v="1990"/>
        <n v="4080"/>
        <n v="382"/>
        <n v="1490"/>
        <n v="3490"/>
        <n v="2650"/>
        <n v="2699"/>
        <n v="2690"/>
        <n v="656"/>
        <s v=" 2,200 -  3,200"/>
        <n v="4471"/>
        <n v="931"/>
        <n v="476"/>
        <n v="1060"/>
        <n v="2169"/>
        <n v="2000"/>
        <n v="1785"/>
        <n v="1316"/>
        <n v="1950"/>
        <n v="504"/>
        <n v="600"/>
        <n v="1699"/>
        <n v="384"/>
        <n v="1499"/>
        <n v="1343"/>
        <n v="900"/>
        <n v="1567"/>
        <n v="3810"/>
        <n v="2500"/>
        <n v="986"/>
        <n v="4700"/>
        <n v="873"/>
        <n v="680"/>
        <n v="1555"/>
        <n v="1814"/>
        <n v="6143"/>
        <n v="700"/>
        <n v="3240"/>
        <n v="602"/>
        <n v="899"/>
        <n v="2988"/>
        <n v="1485"/>
        <n v="1200"/>
        <n v="1799"/>
        <n v="450"/>
        <n v="2199"/>
        <n v="1920"/>
        <n v="2290"/>
        <n v="537"/>
        <n v="1100"/>
        <n v="1700"/>
        <n v="200"/>
        <n v="2400"/>
        <n v="1660"/>
        <n v="486"/>
        <n v="1029"/>
        <n v="1874"/>
        <n v="4588"/>
        <n v="2420"/>
        <n v="1899"/>
        <n v="260"/>
        <n v="1737"/>
        <n v="1810"/>
        <n v="553"/>
        <n v="320"/>
        <m/>
      </sharedItems>
    </cacheField>
    <cacheField name="Discount" numFmtId="10">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Review" numFmtId="0">
      <sharedItems containsBlank="1" containsMixedTypes="1" containsNumber="1" containsInteger="1" minValue="-69" maxValue="-1" count="25">
        <n v="-2"/>
        <n v="-14"/>
        <n v="-24"/>
        <n v="-7"/>
        <n v="-5"/>
        <n v="-15"/>
        <n v="-55"/>
        <n v="-12"/>
        <n v="-39"/>
        <n v="-6"/>
        <n v="-9"/>
        <n v="-3"/>
        <n v="-44"/>
        <n v="-13"/>
        <s v="NA"/>
        <n v="-49"/>
        <n v="-20"/>
        <n v="-32"/>
        <n v="-1"/>
        <n v="-36"/>
        <n v="-10"/>
        <n v="-69"/>
        <n v="-16"/>
        <n v="-17"/>
        <m/>
      </sharedItems>
    </cacheField>
    <cacheField name=" Reviewspos" numFmtId="0">
      <sharedItems containsMixedTypes="1" containsNumber="1" containsInteger="1" minValue="0" maxValue="69" count="25">
        <n v="2"/>
        <n v="14"/>
        <n v="24"/>
        <n v="7"/>
        <n v="5"/>
        <n v="15"/>
        <n v="55"/>
        <n v="12"/>
        <n v="39"/>
        <n v="6"/>
        <n v="9"/>
        <n v="3"/>
        <n v="44"/>
        <n v="13"/>
        <e v="#VALUE!"/>
        <n v="49"/>
        <n v="20"/>
        <n v="32"/>
        <n v="1"/>
        <n v="36"/>
        <n v="10"/>
        <n v="69"/>
        <n v="16"/>
        <n v="17"/>
        <n v="0"/>
      </sharedItems>
    </cacheField>
    <cacheField name="Ratingd" numFmtId="0">
      <sharedItems containsBlank="1"/>
    </cacheField>
    <cacheField name="C-Ratings" numFmtId="0">
      <sharedItems containsSemiMixedTypes="0" containsString="0" containsNumber="1" minValue="0" maxValue="5" count="23">
        <n v="4.5"/>
        <n v="4.0999999999999996"/>
        <n v="4.5999999999999996"/>
        <n v="4.7"/>
        <n v="4.8"/>
        <n v="4"/>
        <n v="3.8"/>
        <n v="4.2"/>
        <n v="5"/>
        <n v="3.3"/>
        <n v="0"/>
        <n v="4.4000000000000004"/>
        <n v="4.3"/>
        <n v="2.5"/>
        <n v="3"/>
        <n v="2.1"/>
        <n v="2.8"/>
        <n v="2.7"/>
        <n v="2.9"/>
        <n v="2.2000000000000002"/>
        <n v="2.2999999999999998"/>
        <n v="2.6"/>
        <n v="2"/>
      </sharedItems>
    </cacheField>
    <cacheField name="Discounted price" numFmtId="2">
      <sharedItems containsMixedTypes="1" containsNumber="1" containsInteger="1" minValue="0" maxValue="2585"/>
    </cacheField>
    <cacheField name="Rating" numFmtId="0">
      <sharedItems/>
    </cacheField>
    <cacheField name="Discount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48.501319097224" createdVersion="6" refreshedVersion="6" minRefreshableVersion="3" recordCount="116" xr:uid="{00000000-000A-0000-FFFF-FFFF18000000}">
  <cacheSource type="worksheet">
    <worksheetSource ref="A1:M117" sheet="Working sheet"/>
  </cacheSource>
  <cacheFields count="12">
    <cacheField name="Product" numFmtId="0">
      <sharedItems containsBlank="1" count="110">
        <s v="LASA Aluminum Folding Truck Hand Cart - 68kg Max"/>
        <s v="Classic Black Cat Cotton Hemp Pillow Case For Home Car"/>
        <s v="Anti-Skid Absorbent Insulation Coaster  For Home Office"/>
        <s v="Peacock  Throw Pillow Cushion Case For Home Car"/>
        <s v="Bedroom Simple Floor Hanging Clothes Rack Single Pole Hat Rack - White"/>
        <s v="DIY File Folder, Office Drawer File Holder, Pen Holder, Desktop Storage Rack"/>
        <s v="Konka Healty Electric Kettle, 24-hour Heat Preservation,1.5L,800W, White"/>
        <s v="40cm Gold DIY Acrylic Wall Sticker Clock"/>
        <s v="LASA FOLDING TABLE SERVING STAND"/>
        <s v="Portable Home Small Air Humidifier 3-Speed Fan - Green"/>
        <s v="100 Pcs Crochet Hook Tool Set Knitting Hook Set With Box"/>
        <s v="53Pcs/Set Yarn Knitting Crochet Hooks With Bag - Fortune Cat"/>
        <s v="12 Litre Insulated Lunch Box Grey"/>
        <s v="Weighing Scale Digital Bathroom Body Fat Scale USB-Black"/>
        <s v="137 Pieces Cake Decorating Tool Set Baking Supplies"/>
        <s v="Electronic Digital Display Vernier Caliper"/>
        <s v="3D Waterproof EVA Plastic Shower Curtain 1.8*2Mtrs"/>
        <s v="Portable Mini Cordless Car Vacuum Cleaner - Blue"/>
        <s v="LED Wall Digital Alarm Clock Study Home 12 / 24H Clock Calendar"/>
        <s v="53 Pieces/Set Yarn Knitting Crochet Hooks With Bag - Pansies"/>
        <s v="LASA Digital Thermometer And Hydrometer"/>
        <s v="1/2/3 Seater Elastic Sofa Cover,Living Room/Home Decor Chair Cover-Grey"/>
        <s v="115  Piece Set Of Multifunctional Precision Screwdrivers"/>
        <s v="Foldable Overbed Table/Desk"/>
        <s v="Punch-free Great Load Bearing Bathroom Storage Rack Wall Shelf-White"/>
        <s v="Exfoliate And Exfoliate Face Towel - Black"/>
        <s v="LED Eye Protection  Desk Lamp , Study, Reading, USB Fan - Double Pen Holder"/>
        <s v="LASA 3 Tier Bamboo Shoe Bench Storage Shelf"/>
        <s v="Multifunction Laser Level With Adjustment Tripod"/>
        <s v="52 Pieces Cake Decorating Tool Set Gift Kit Baking Supplies"/>
        <s v="Metal Decorative Hooks Key Hangers Entryway Wall Hooks Towel Hooks - Home"/>
        <s v="Genebre 115 In 1 Screwdriver Repairing Tool Set For IPhone Cellphone Hand Tool"/>
        <s v="220V 60W Electric Soldering Iron Kits With Tools, Tips, And Multimeter"/>
        <s v="LED Romantic Spaceship Starry Sky Projector,Children's Bedroom Night Light-Blue"/>
        <s v="Desk Foldable Fan Adjustable Fan Strong Wind 3 Gear Usb"/>
        <s v="Household Pineapple Peeler Peeler"/>
        <s v="12 Litre Black Insulated Lunch Box"/>
        <s v="Portable Wardrobe Nonwoven With 3 Hanging Rods And 6 Storage Shelves"/>
        <s v="13 In 1 Home Repair Tools Box Kit Set"/>
        <s v="3PCS Single Head Knitting Crochet Sweater Needle Set"/>
        <s v="Mythco 120COB Solar Wall Ligt With Motion Sensor And Remote Control 3 Modes"/>
        <s v="32PCS Portable Cordless Drill Set With Cyclic Battery Drive -26 Variable Speed"/>
        <s v="Large Lazy Inflatable Sofa Chairs PVC Lounger Seat Bag"/>
        <s v="Wrought Iron Bathroom Shelf Wall Mounted Free Punch Toilet Rack"/>
        <s v="Memory Foam Neck Pillow Cover, With Pillow Core - 50*30cm"/>
        <s v="VIC Wireless Vacuum Cleaner Dual Use For Home And Car 120W High Power Powerful"/>
        <s v="120W Cordless Vacuum Cleaners Handheld Electric Vacuum Cleaner"/>
        <s v="Intelligent  LED Body Sensor Wireless Lighting Night Light USB"/>
        <s v="Agapeon Toothbrush Holder And Toothpaste Dispenser"/>
        <s v="5 Pieces/set Of Stainless Steel Induction Cooker Pots"/>
        <s v="380ML USB Rechargeable Portable Small Blenders And Juicers"/>
        <s v="Watercolour Gold Foil Textured Print Pillow Cover"/>
        <s v="Artificial Potted Flowers Room Decorative Flowers (2 Pieces)"/>
        <s v="7-piece Set Of Storage Bags, Travel Storage Bags, Shoe Bags"/>
        <s v="5-PCS Stainless Steel Cooking Pot Set With Steamed Slices"/>
        <s v="Electric LED UV Mosquito Killer Lamp, Outdoor/Indoor Fly Killer Trap Light -USB"/>
        <s v="Wall-mounted Sticker Punch-free Plug Fixer"/>
        <s v="Brush &amp; Paintbrush Cleaning Tool Pink"/>
        <s v="Pen Grips For Kids Pen Grip Posture Correction Tool For Kids"/>
        <s v="Wall Mount Automatic Toothpaste Dispenser Toothbrush Holder Toothpaste Squeezer"/>
        <s v="60W Hot Melt Glue Sprayer - Efficient And Stable Glue Dispensing"/>
        <s v="8in1 Screwdriver With LED Light"/>
        <s v="Modern Sofa Throw Pillow Cover-45x45cm-Blue&amp;Red"/>
        <s v="12V 19500rpm Handheld Electric Angle Grinder Tool - UK - Yellow/Black"/>
        <s v="24 Grid Wall-mounted Sundries Organiser Fabric Closet Bag Storage Rack"/>
        <s v="2 Pairs Cowhide Split Leather Work Gloves.32â„‰ Or Above Welding Gloves"/>
        <s v="Wall-Mounted Toothbrush Toothpaste Holder With Multiple Slots"/>
        <s v="2pcs Solar Street Light Flood Light Outdoor"/>
        <s v="LED Solar Street Light-fake Camera"/>
        <s v="Wall Clock With Hidden Safe Box"/>
        <s v="4M Float Switch Water Level Controller -Water Tank"/>
        <s v="Cartoon Car Decoration Cute Individuality For Car Home Desk"/>
        <s v="Sewing Machine Needle Threader Stitch Insertion Tool Automatic Quick Sewing"/>
        <s v="Portable Soap Dispenser Kitchen Detergent Press Box Kitchen Tools"/>
        <s v="Angle Measuring Tool Full Metal Multi Angle Measuring Tool"/>
        <s v="4 Piece Coloured Stainless Steel Kitchenware Set"/>
        <s v="Metal Wall Clock Silver Dial Crystal Jewelry Round Home Decoration Wall Clock"/>
        <s v="Cushion Silicone Butt Cushion Summer Ice Cushion Honeycomb Gel Cushion"/>
        <s v="2PCS/LOT Solar LED Outdoor Intelligent Light Controlled Wall Lamp"/>
        <s v="3PCS Rotary Scraper Thermomix For Kitchen"/>
        <s v="Baby Early Education Shape And Color Cognitive Training Toys"/>
        <s v="MultiFunctional Storage Rack Multi-layer Bookshelf"/>
        <s v="5m Waterproof Spherical LED String Lights Outdoor Ball Chain Lights Party Lighting Decoration Adjustable"/>
        <s v="Christmas Fence Garden Decorations Outdoor For Holiday Home"/>
        <s v="2PCS Ice Silk Square Cushion Cover Pillowcases - 65x65cm"/>
        <s v="7PCS Silicone Thumb Knife Finger Protector Vegetable Harvesting Knife"/>
        <s v="Shower Cap Wide Elastic Band Cover Reusable Bashroom Cap"/>
        <s v="4pcs Bathroom/Kitchen Towel Rack,Roll Paper Holder,Towel Bars,Hook"/>
        <s v="Cartoon Embroidered Mini Towel Bear Cotton Wash Cloth Hand 4pcs"/>
        <s v="Outdoor Portable Water Bottle With Medicine Box - 600ML - Black"/>
        <s v="Balloon Insert, Birthday Party Balloon Set, PU Leather"/>
        <s v="Thickening Multipurpose Non Stick Easy To Clean Heat Resistant Spoon Pad"/>
        <s v="Simple Metal Dog Art Sculpture Decoration For Home Office"/>
        <s v="LASA Stainless Steel Double Wall Mount Soap Dispenser - 500ml"/>
        <s v="Creative Owl Shape Keychain Black"/>
        <s v="Black Simple Water Cup Wine Coaster Anti Slip Absorbent"/>
        <s v="Car Phone Charging Stand"/>
        <s v="Multi-purpose Rice Drainage Basket And Fruit And Vegetable Drainage Sieve"/>
        <s v="Shower Nozzle Cleaning Unclogging Needle Mini Crevice Small Hole Cleaning Brush"/>
        <s v="6 Layers Steel Pipe Assembling Dustproof Storage Shoe Cabinet"/>
        <s v="Multifunctional Hanging Storage Box Storage Bag (4 Layers)"/>
        <s v="Portable Wine Table With Folding Round Table"/>
        <s v="1PC Refrigerator Food Seal Pocket Fridge Bags"/>
        <s v="Cute Christmas Fence Garden Decorations For Holiday Home"/>
        <s v="Office Chair Lumbar Back Support Spine Posture Correction Pillow Car Cushion"/>
        <s v="9pcs Gas Mask, For Painting, Dust, Formaldehyde Grinding, Polishing"/>
        <s v="Christmas Elk Fence Yard Lawn Decorations Cute For Holidays"/>
        <s v="Pilates Cloth Bag Waterproof Durable High Capacity Purple"/>
        <s v="6 In 1 Bottle Can Opener Multifunctional Easy Opener"/>
        <m/>
      </sharedItems>
    </cacheField>
    <cacheField name="Current price" numFmtId="0">
      <sharedItems containsString="0" containsBlank="1" containsNumber="1" containsInteger="1" minValue="38" maxValue="3750"/>
    </cacheField>
    <cacheField name="old price" numFmtId="2">
      <sharedItems containsString="0" containsBlank="1" containsNumber="1" containsInteger="1" minValue="80" maxValue="6143"/>
    </cacheField>
    <cacheField name="disc pc" numFmtId="9">
      <sharedItems containsBlank="1" containsMixedTypes="1" containsNumber="1" minValue="1.2638230647709321E-2" maxValue="0.64014466546112114"/>
    </cacheField>
    <cacheField name="Discount" numFmtId="10">
      <sharedItems containsString="0" containsBlank="1" containsNumber="1" minValue="0.01" maxValue="0.64"/>
    </cacheField>
    <cacheField name="Review" numFmtId="0">
      <sharedItems containsString="0" containsBlank="1" containsNumber="1" minValue="-69" maxValue="-1"/>
    </cacheField>
    <cacheField name=" Reviewspos" numFmtId="0">
      <sharedItems containsString="0" containsBlank="1" containsNumber="1" containsInteger="1" minValue="0" maxValue="69"/>
    </cacheField>
    <cacheField name="Ratingd" numFmtId="0">
      <sharedItems containsBlank="1" containsMixedTypes="1" containsNumber="1" containsInteger="1" minValue="0" maxValue="0"/>
    </cacheField>
    <cacheField name="C-Ratings" numFmtId="0">
      <sharedItems containsString="0" containsBlank="1" containsNumber="1" minValue="0" maxValue="5"/>
    </cacheField>
    <cacheField name="Discounted price" numFmtId="2">
      <sharedItems containsString="0" containsBlank="1" containsNumber="1" containsInteger="1" minValue="0" maxValue="2585"/>
    </cacheField>
    <cacheField name="Rating" numFmtId="0">
      <sharedItems containsBlank="1" count="4">
        <s v="Excellent"/>
        <s v="Average"/>
        <s v="poor"/>
        <m/>
      </sharedItems>
    </cacheField>
    <cacheField name="Discounts" numFmtId="0">
      <sharedItems containsBlank="1" count="4">
        <s v="high"/>
        <s v="Medium"/>
        <s v="Low"/>
        <m/>
      </sharedItems>
    </cacheField>
  </cacheFields>
  <extLst>
    <ext xmlns:x14="http://schemas.microsoft.com/office/spreadsheetml/2009/9/main" uri="{725AE2AE-9491-48be-B2B4-4EB974FC3084}">
      <x14:pivotCacheDefinition pivotCacheId="161796333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48.575093518521" createdVersion="6" refreshedVersion="6" minRefreshableVersion="3" recordCount="109" xr:uid="{00000000-000A-0000-FFFF-FFFFE2000000}">
  <cacheSource type="worksheet">
    <worksheetSource ref="A1:M110" sheet="Working sheet"/>
  </cacheSource>
  <cacheFields count="12">
    <cacheField name="Product" numFmtId="0">
      <sharedItems count="109">
        <s v="LASA Aluminum Folding Truck Hand Cart - 68kg Max"/>
        <s v="Classic Black Cat Cotton Hemp Pillow Case For Home Car"/>
        <s v="Anti-Skid Absorbent Insulation Coaster  For Home Office"/>
        <s v="Peacock  Throw Pillow Cushion Case For Home Car"/>
        <s v="Bedroom Simple Floor Hanging Clothes Rack Single Pole Hat Rack - White"/>
        <s v="DIY File Folder, Office Drawer File Holder, Pen Holder, Desktop Storage Rack"/>
        <s v="Konka Healty Electric Kettle, 24-hour Heat Preservation,1.5L,800W, White"/>
        <s v="40cm Gold DIY Acrylic Wall Sticker Clock"/>
        <s v="LASA FOLDING TABLE SERVING STAND"/>
        <s v="Portable Home Small Air Humidifier 3-Speed Fan - Green"/>
        <s v="100 Pcs Crochet Hook Tool Set Knitting Hook Set With Box"/>
        <s v="53Pcs/Set Yarn Knitting Crochet Hooks With Bag - Fortune Cat"/>
        <s v="12 Litre Insulated Lunch Box Grey"/>
        <s v="Weighing Scale Digital Bathroom Body Fat Scale USB-Black"/>
        <s v="137 Pieces Cake Decorating Tool Set Baking Supplies"/>
        <s v="Electronic Digital Display Vernier Caliper"/>
        <s v="3D Waterproof EVA Plastic Shower Curtain 1.8*2Mtrs"/>
        <s v="Portable Mini Cordless Car Vacuum Cleaner - Blue"/>
        <s v="LED Wall Digital Alarm Clock Study Home 12 / 24H Clock Calendar"/>
        <s v="53 Pieces/Set Yarn Knitting Crochet Hooks With Bag - Pansies"/>
        <s v="LASA Digital Thermometer And Hydrometer"/>
        <s v="1/2/3 Seater Elastic Sofa Cover,Living Room/Home Decor Chair Cover-Grey"/>
        <s v="115  Piece Set Of Multifunctional Precision Screwdrivers"/>
        <s v="Foldable Overbed Table/Desk"/>
        <s v="Punch-free Great Load Bearing Bathroom Storage Rack Wall Shelf-White"/>
        <s v="Exfoliate And Exfoliate Face Towel - Black"/>
        <s v="LED Eye Protection  Desk Lamp , Study, Reading, USB Fan - Double Pen Holder"/>
        <s v="LASA 3 Tier Bamboo Shoe Bench Storage Shelf"/>
        <s v="Multifunction Laser Level With Adjustment Tripod"/>
        <s v="52 Pieces Cake Decorating Tool Set Gift Kit Baking Supplies"/>
        <s v="Metal Decorative Hooks Key Hangers Entryway Wall Hooks Towel Hooks - Home"/>
        <s v="Genebre 115 In 1 Screwdriver Repairing Tool Set For IPhone Cellphone Hand Tool"/>
        <s v="220V 60W Electric Soldering Iron Kits With Tools, Tips, And Multimeter"/>
        <s v="LED Romantic Spaceship Starry Sky Projector,Children's Bedroom Night Light-Blue"/>
        <s v="Desk Foldable Fan Adjustable Fan Strong Wind 3 Gear Usb"/>
        <s v="Household Pineapple Peeler Peeler"/>
        <s v="12 Litre Black Insulated Lunch Box"/>
        <s v="Portable Wardrobe Nonwoven With 3 Hanging Rods And 6 Storage Shelves"/>
        <s v="13 In 1 Home Repair Tools Box Kit Set"/>
        <s v="3PCS Single Head Knitting Crochet Sweater Needle Set"/>
        <s v="Mythco 120COB Solar Wall Ligt With Motion Sensor And Remote Control 3 Modes"/>
        <s v="32PCS Portable Cordless Drill Set With Cyclic Battery Drive -26 Variable Speed"/>
        <s v="Large Lazy Inflatable Sofa Chairs PVC Lounger Seat Bag"/>
        <s v="Wrought Iron Bathroom Shelf Wall Mounted Free Punch Toilet Rack"/>
        <s v="Memory Foam Neck Pillow Cover, With Pillow Core - 50*30cm"/>
        <s v="VIC Wireless Vacuum Cleaner Dual Use For Home And Car 120W High Power Powerful"/>
        <s v="120W Cordless Vacuum Cleaners Handheld Electric Vacuum Cleaner"/>
        <s v="Intelligent  LED Body Sensor Wireless Lighting Night Light USB"/>
        <s v="Agapeon Toothbrush Holder And Toothpaste Dispenser"/>
        <s v="5 Pieces/set Of Stainless Steel Induction Cooker Pots"/>
        <s v="380ML USB Rechargeable Portable Small Blenders And Juicers"/>
        <s v="Watercolour Gold Foil Textured Print Pillow Cover"/>
        <s v="Artificial Potted Flowers Room Decorative Flowers (2 Pieces)"/>
        <s v="7-piece Set Of Storage Bags, Travel Storage Bags, Shoe Bags"/>
        <s v="5-PCS Stainless Steel Cooking Pot Set With Steamed Slices"/>
        <s v="Electric LED UV Mosquito Killer Lamp, Outdoor/Indoor Fly Killer Trap Light -USB"/>
        <s v="Wall-mounted Sticker Punch-free Plug Fixer"/>
        <s v="Brush &amp; Paintbrush Cleaning Tool Pink"/>
        <s v="Pen Grips For Kids Pen Grip Posture Correction Tool For Kids"/>
        <s v="Wall Mount Automatic Toothpaste Dispenser Toothbrush Holder Toothpaste Squeezer"/>
        <s v="60W Hot Melt Glue Sprayer - Efficient And Stable Glue Dispensing"/>
        <s v="8in1 Screwdriver With LED Light"/>
        <s v="Modern Sofa Throw Pillow Cover-45x45cm-Blue&amp;Red"/>
        <s v="12V 19500rpm Handheld Electric Angle Grinder Tool - UK - Yellow/Black"/>
        <s v="24 Grid Wall-mounted Sundries Organiser Fabric Closet Bag Storage Rack"/>
        <s v="2 Pairs Cowhide Split Leather Work Gloves.32â„‰ Or Above Welding Gloves"/>
        <s v="Wall-Mounted Toothbrush Toothpaste Holder With Multiple Slots"/>
        <s v="2pcs Solar Street Light Flood Light Outdoor"/>
        <s v="LED Solar Street Light-fake Camera"/>
        <s v="Wall Clock With Hidden Safe Box"/>
        <s v="4M Float Switch Water Level Controller -Water Tank"/>
        <s v="Cartoon Car Decoration Cute Individuality For Car Home Desk"/>
        <s v="Sewing Machine Needle Threader Stitch Insertion Tool Automatic Quick Sewing"/>
        <s v="Portable Soap Dispenser Kitchen Detergent Press Box Kitchen Tools"/>
        <s v="Angle Measuring Tool Full Metal Multi Angle Measuring Tool"/>
        <s v="4 Piece Coloured Stainless Steel Kitchenware Set"/>
        <s v="Metal Wall Clock Silver Dial Crystal Jewelry Round Home Decoration Wall Clock"/>
        <s v="Cushion Silicone Butt Cushion Summer Ice Cushion Honeycomb Gel Cushion"/>
        <s v="2PCS/LOT Solar LED Outdoor Intelligent Light Controlled Wall Lamp"/>
        <s v="3PCS Rotary Scraper Thermomix For Kitchen"/>
        <s v="Baby Early Education Shape And Color Cognitive Training Toys"/>
        <s v="MultiFunctional Storage Rack Multi-layer Bookshelf"/>
        <s v="5m Waterproof Spherical LED String Lights Outdoor Ball Chain Lights Party Lighting Decoration Adjustable"/>
        <s v="Christmas Fence Garden Decorations Outdoor For Holiday Home"/>
        <s v="2PCS Ice Silk Square Cushion Cover Pillowcases - 65x65cm"/>
        <s v="7PCS Silicone Thumb Knife Finger Protector Vegetable Harvesting Knife"/>
        <s v="Shower Cap Wide Elastic Band Cover Reusable Bashroom Cap"/>
        <s v="4pcs Bathroom/Kitchen Towel Rack,Roll Paper Holder,Towel Bars,Hook"/>
        <s v="Cartoon Embroidered Mini Towel Bear Cotton Wash Cloth Hand 4pcs"/>
        <s v="Outdoor Portable Water Bottle With Medicine Box - 600ML - Black"/>
        <s v="Balloon Insert, Birthday Party Balloon Set, PU Leather"/>
        <s v="Thickening Multipurpose Non Stick Easy To Clean Heat Resistant Spoon Pad"/>
        <s v="Simple Metal Dog Art Sculpture Decoration For Home Office"/>
        <s v="LASA Stainless Steel Double Wall Mount Soap Dispenser - 500ml"/>
        <s v="Creative Owl Shape Keychain Black"/>
        <s v="Black Simple Water Cup Wine Coaster Anti Slip Absorbent"/>
        <s v="Car Phone Charging Stand"/>
        <s v="Multi-purpose Rice Drainage Basket And Fruit And Vegetable Drainage Sieve"/>
        <s v="Shower Nozzle Cleaning Unclogging Needle Mini Crevice Small Hole Cleaning Brush"/>
        <s v="6 Layers Steel Pipe Assembling Dustproof Storage Shoe Cabinet"/>
        <s v="Multifunctional Hanging Storage Box Storage Bag (4 Layers)"/>
        <s v="Portable Wine Table With Folding Round Table"/>
        <s v="1PC Refrigerator Food Seal Pocket Fridge Bags"/>
        <s v="Cute Christmas Fence Garden Decorations For Holiday Home"/>
        <s v="Office Chair Lumbar Back Support Spine Posture Correction Pillow Car Cushion"/>
        <s v="9pcs Gas Mask, For Painting, Dust, Formaldehyde Grinding, Polishing"/>
        <s v="Christmas Elk Fence Yard Lawn Decorations Cute For Holidays"/>
        <s v="Pilates Cloth Bag Waterproof Durable High Capacity Purple"/>
        <s v="6 In 1 Bottle Can Opener Multifunctional Easy Opener"/>
      </sharedItems>
    </cacheField>
    <cacheField name="Current price" numFmtId="0">
      <sharedItems containsSemiMixedTypes="0" containsString="0" containsNumber="1" containsInteger="1" minValue="38" maxValue="3750"/>
    </cacheField>
    <cacheField name="old price" numFmtId="2">
      <sharedItems containsSemiMixedTypes="0" containsString="0" containsNumber="1" containsInteger="1" minValue="80" maxValue="6143"/>
    </cacheField>
    <cacheField name="disc pc" numFmtId="9">
      <sharedItems containsSemiMixedTypes="0" containsString="0" containsNumber="1" minValue="1.2638230647709321E-2" maxValue="0.64014466546112114"/>
    </cacheField>
    <cacheField name="Discount" numFmtId="10">
      <sharedItems containsSemiMixedTypes="0" containsString="0" containsNumber="1" minValue="0.01" maxValue="0.61" count="45">
        <n v="0.49"/>
        <n v="0.53"/>
        <n v="0.51"/>
        <n v="0.46"/>
        <n v="0.4"/>
        <n v="0.08"/>
        <n v="0.47"/>
        <n v="0.55000000000000004"/>
        <n v="0.26"/>
        <n v="0.34"/>
        <n v="0.27"/>
        <n v="0.37"/>
        <n v="0.24"/>
        <n v="0.35"/>
        <n v="0.25"/>
        <n v="0.19"/>
        <n v="0.42"/>
        <n v="0.38"/>
        <n v="0.23"/>
        <n v="0.41"/>
        <n v="0.52"/>
        <n v="0.48"/>
        <n v="0.54"/>
        <n v="0.33"/>
        <n v="0.3"/>
        <n v="0.2"/>
        <n v="0.09"/>
        <n v="0.36"/>
        <n v="0.32"/>
        <n v="0.18"/>
        <n v="0.45"/>
        <n v="0.39"/>
        <n v="0.28999999999999998"/>
        <n v="0.04"/>
        <n v="0.5"/>
        <n v="0.22"/>
        <n v="0.43"/>
        <n v="0.13"/>
        <n v="0.61"/>
        <n v="0.21"/>
        <n v="0.14000000000000001"/>
        <n v="0.11"/>
        <n v="0.03"/>
        <n v="0.02"/>
        <n v="0.01"/>
      </sharedItems>
      <fieldGroup base="4">
        <rangePr startNum="0.01" endNum="0.61" groupInterval="0.1"/>
        <groupItems count="8">
          <s v="&lt;0.01"/>
          <s v="0.01-0.11"/>
          <s v="0.11-0.21"/>
          <s v="0.21-0.31"/>
          <s v="0.31-0.41"/>
          <s v="0.41-0.51"/>
          <s v="0.51-0.61"/>
          <s v="&gt;0.61"/>
        </groupItems>
      </fieldGroup>
    </cacheField>
    <cacheField name="Review" numFmtId="0">
      <sharedItems containsString="0" containsBlank="1" containsNumber="1" containsInteger="1" minValue="-69" maxValue="-1"/>
    </cacheField>
    <cacheField name=" Reviewspos" numFmtId="0">
      <sharedItems containsSemiMixedTypes="0" containsString="0" containsNumber="1" containsInteger="1" minValue="0" maxValue="69"/>
    </cacheField>
    <cacheField name="Ratingd" numFmtId="0">
      <sharedItems containsMixedTypes="1" containsNumber="1" containsInteger="1" minValue="0" maxValue="0" count="23">
        <s v="5 out of 5"/>
        <s v="4.8 out of 5"/>
        <s v="4.7 out of 5"/>
        <s v="4.6 out of 5"/>
        <s v="4.5 out of 5"/>
        <s v="4.4 out of 5"/>
        <s v="4.3 out of 5"/>
        <s v="4.2 out of 5"/>
        <s v="4.1 out of 5"/>
        <s v="4 out of 5"/>
        <s v="3.8 out of 5"/>
        <s v="3.3 out of 5"/>
        <s v="3 out of 5"/>
        <s v="2.9 out of 5"/>
        <s v="2.8 out of 5"/>
        <s v="2.7 out of 5"/>
        <s v="2.6 out of 5"/>
        <s v="2.5 out of 5"/>
        <s v="2.3 out of 5"/>
        <s v="2.2 out of 5"/>
        <s v="2.1 out of 5"/>
        <s v="2 out of 5"/>
        <n v="0"/>
      </sharedItems>
    </cacheField>
    <cacheField name="C-Ratings" numFmtId="0">
      <sharedItems containsSemiMixedTypes="0" containsString="0" containsNumber="1" minValue="0" maxValue="5"/>
    </cacheField>
    <cacheField name="Discounted price" numFmtId="165">
      <sharedItems containsSemiMixedTypes="0" containsString="0" containsNumber="1" containsInteger="1" minValue="24" maxValue="2585"/>
    </cacheField>
    <cacheField name="Rating" numFmtId="0">
      <sharedItems count="3">
        <s v="Excellent"/>
        <s v="Average"/>
        <s v="poor"/>
      </sharedItems>
    </cacheField>
    <cacheField name="Discounts" numFmtId="0">
      <sharedItems count="3">
        <s v="high"/>
        <s v="Medium"/>
        <s v="Low"/>
      </sharedItems>
    </cacheField>
  </cacheFields>
  <extLst>
    <ext xmlns:x14="http://schemas.microsoft.com/office/spreadsheetml/2009/9/main" uri="{725AE2AE-9491-48be-B2B4-4EB974FC3084}">
      <x14:pivotCacheDefinition pivotCacheId="104316059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9.047655787035" backgroundQuery="1" createdVersion="6" refreshedVersion="6" minRefreshableVersion="3" recordCount="0" supportSubquery="1" supportAdvancedDrill="1" xr:uid="{00000000-000A-0000-FFFF-FFFF59010000}">
  <cacheSource type="external" connectionId="1"/>
  <cacheFields count="3">
    <cacheField name="[Range].[Product].[Product]" caption="Product" numFmtId="0" level="1">
      <sharedItems count="5">
        <s v="Simple Metal Dog Art Sculpture Decoration For Home Office"/>
        <s v="Thickening Multipurpose Non Stick Easy To Clean Heat Resistant Spoon Pad"/>
        <s v="Wall Clock With Hidden Safe Box"/>
        <s v="Wall Mount Automatic Toothpaste Dispenser Toothbrush Holder Toothpaste Squeezer"/>
        <s v="Wall-Mounted Toothbrush Toothpaste Holder With Multiple Slots"/>
      </sharedItems>
    </cacheField>
    <cacheField name="[Measures].[Max of Correct-Ratings]" caption="Max of Correct-Ratings" numFmtId="0" hierarchy="19" level="32767"/>
    <cacheField name="[Range].[Rating].[Rating]" caption="Rating" numFmtId="0" hierarchy="11" level="1">
      <sharedItems containsSemiMixedTypes="0" containsNonDate="0" containsString="0"/>
    </cacheField>
  </cacheFields>
  <cacheHierarchies count="25">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urrent price]" caption="Current price" attribute="1" defaultMemberUniqueName="[Range].[Current price].[All]" allUniqueName="[Range].[Current price].[All]" dimensionUniqueName="[Range]" displayFolder="" count="0" memberValueDatatype="20" unbalanced="0"/>
    <cacheHierarchy uniqueName="[Range].[Min/Max]" caption="Min/Max" attribute="1" defaultMemberUniqueName="[Range].[Min/Max].[All]" allUniqueName="[Range].[Min/Max].[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20" unbalanced="0"/>
    <cacheHierarchy uniqueName="[Range].[disc pc]" caption="disc pc" attribute="1" defaultMemberUniqueName="[Range].[disc pc].[All]" allUniqueName="[Range].[disc pc].[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Review]" caption="Review" attribute="1" defaultMemberUniqueName="[Range].[Review].[All]" allUniqueName="[Range].[Review].[All]" dimensionUniqueName="[Range]" displayFolder="" count="0" memberValueDatatype="20" unbalanced="0"/>
    <cacheHierarchy uniqueName="[Range].[Reviewspos]" caption="Reviewspos" attribute="1" defaultMemberUniqueName="[Range].[Reviewspos].[All]" allUniqueName="[Range].[Reviewspos].[All]" dimensionUniqueName="[Range]" displayFolder="" count="0" memberValueDatatype="20" unbalanced="0"/>
    <cacheHierarchy uniqueName="[Range].[Ratingd]" caption="Ratingd" attribute="1" defaultMemberUniqueName="[Range].[Ratingd].[All]" allUniqueName="[Range].[Ratingd].[All]" dimensionUniqueName="[Range]" displayFolder="" count="0" memberValueDatatype="130" unbalanced="0"/>
    <cacheHierarchy uniqueName="[Range].[Correct-Ratings]" caption="Correct-Ratings" attribute="1" defaultMemberUniqueName="[Range].[Correct-Ratings].[All]" allUniqueName="[Range].[Correct-Ratings].[All]" dimensionUniqueName="[Range]" displayFolder="" count="0" memberValueDatatype="5" unbalanced="0"/>
    <cacheHierarchy uniqueName="[Range].[Discounted price]" caption="Discounted price" attribute="1" defaultMemberUniqueName="[Range].[Discounted price].[All]" allUniqueName="[Range].[Discounted price].[All]" dimensionUniqueName="[Range]" displayFolder="" count="0" memberValueDatatype="20" unbalanced="0"/>
    <cacheHierarchy uniqueName="[Range].[Rating]" caption="Rating" attribute="1" defaultMemberUniqueName="[Range].[Rating].[All]" allUniqueName="[Range].[Rating].[All]" dimensionUniqueName="[Range]" displayFolder="" count="2" memberValueDatatype="130" unbalanced="0">
      <fieldsUsage count="2">
        <fieldUsage x="-1"/>
        <fieldUsage x="2"/>
      </fieldsUsage>
    </cacheHierarchy>
    <cacheHierarchy uniqueName="[Range].[Discounts]" caption="Discounts" attribute="1" defaultMemberUniqueName="[Range].[Discounts].[All]" allUniqueName="[Range].[Discount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iewspos]" caption="Sum of Reviewspos" measure="1" displayFolder="" measureGroup="Range" count="0" hidden="1">
      <extLst>
        <ext xmlns:x15="http://schemas.microsoft.com/office/spreadsheetml/2010/11/main" uri="{B97F6D7D-B522-45F9-BDA1-12C45D357490}">
          <x15:cacheHierarchy aggregatedColumn="7"/>
        </ext>
      </extLst>
    </cacheHierarchy>
    <cacheHierarchy uniqueName="[Measures].[Max of Reviewspos]" caption="Max of Reviewspos" measure="1" displayFolder="" measureGroup="Range" count="0" hidden="1">
      <extLst>
        <ext xmlns:x15="http://schemas.microsoft.com/office/spreadsheetml/2010/11/main" uri="{B97F6D7D-B522-45F9-BDA1-12C45D357490}">
          <x15:cacheHierarchy aggregatedColumn="7"/>
        </ext>
      </extLst>
    </cacheHierarchy>
    <cacheHierarchy uniqueName="[Measures].[Sum of Ratingd]" caption="Sum of Ratingd" measure="1" displayFolder="" measureGroup="Range" count="0" hidden="1">
      <extLst>
        <ext xmlns:x15="http://schemas.microsoft.com/office/spreadsheetml/2010/11/main" uri="{B97F6D7D-B522-45F9-BDA1-12C45D357490}">
          <x15:cacheHierarchy aggregatedColumn="8"/>
        </ext>
      </extLst>
    </cacheHierarchy>
    <cacheHierarchy uniqueName="[Measures].[Sum of Correct-Ratings]" caption="Sum of Correct-Ratings" measure="1" displayFolder="" measureGroup="Range" count="0" hidden="1">
      <extLst>
        <ext xmlns:x15="http://schemas.microsoft.com/office/spreadsheetml/2010/11/main" uri="{B97F6D7D-B522-45F9-BDA1-12C45D357490}">
          <x15:cacheHierarchy aggregatedColumn="9"/>
        </ext>
      </extLst>
    </cacheHierarchy>
    <cacheHierarchy uniqueName="[Measures].[Max of Correct-Ratings]" caption="Max of Correct-Ratings"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5"/>
        </ext>
      </extLst>
    </cacheHierarchy>
    <cacheHierarchy uniqueName="[Measures].[Average of Correct-Ratings]" caption="Average of Correct-Ratings" measure="1" displayFolder="" measureGroup="Range" count="0" hidden="1">
      <extLst>
        <ext xmlns:x15="http://schemas.microsoft.com/office/spreadsheetml/2010/11/main" uri="{B97F6D7D-B522-45F9-BDA1-12C45D357490}">
          <x15:cacheHierarchy aggregatedColumn="9"/>
        </ext>
      </extLst>
    </cacheHierarchy>
    <cacheHierarchy uniqueName="[Measures].[Max of Discount]" caption="Max of Discount" measure="1" displayFolder="" measureGroup="Range" count="0" hidden="1">
      <extLst>
        <ext xmlns:x15="http://schemas.microsoft.com/office/spreadsheetml/2010/11/main" uri="{B97F6D7D-B522-45F9-BDA1-12C45D357490}">
          <x15:cacheHierarchy aggregatedColumn="5"/>
        </ext>
      </extLst>
    </cacheHierarchy>
    <cacheHierarchy uniqueName="[Measures].[Count of Correct-Ratings]" caption="Count of Correct-Ratings" measure="1" displayFolder="" measureGroup="Range"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9.047656249997" backgroundQuery="1" createdVersion="6" refreshedVersion="6" minRefreshableVersion="3" recordCount="0" supportSubquery="1" supportAdvancedDrill="1" xr:uid="{00000000-000A-0000-FFFF-FFFF5C010000}">
  <cacheSource type="external" connectionId="1"/>
  <cacheFields count="4">
    <cacheField name="[Range].[Product].[Product]" caption="Product" numFmtId="0" level="1">
      <sharedItems count="10">
        <s v="120W Cordless Vacuum Cleaners Handheld Electric Vacuum Cleaner"/>
        <s v="3PCS Single Head Knitting Crochet Sweater Needle Set"/>
        <s v="Artificial Potted Flowers Room Decorative Flowers (2 Pieces)"/>
        <s v="Brush &amp; Paintbrush Cleaning Tool Pink"/>
        <s v="Classic Black Cat Cotton Hemp Pillow Case For Home Car"/>
        <s v="Exfoliate And Exfoliate Face Towel - Black"/>
        <s v="Intelligent  LED Body Sensor Wireless Lighting Night Light USB"/>
        <s v="LASA 3 Tier Bamboo Shoe Bench Storage Shelf"/>
        <s v="LASA FOLDING TABLE SERVING STAND"/>
        <s v="Mythco 120COB Solar Wall Ligt With Motion Sensor And Remote Control 3 Modes"/>
      </sharedItems>
    </cacheField>
    <cacheField name="[Measures].[Max of Reviewspos]" caption="Max of Reviewspos" numFmtId="0" hierarchy="16" level="32767"/>
    <cacheField name="[Range].[Discounts].[Discounts]" caption="Discounts" numFmtId="0" hierarchy="12" level="1">
      <sharedItems count="3">
        <s v="high"/>
        <s v="Low"/>
        <s v="Medium"/>
      </sharedItems>
    </cacheField>
    <cacheField name="[Range].[Rating].[Rating]" caption="Rating" numFmtId="0" hierarchy="11" level="1">
      <sharedItems count="3">
        <s v="Average"/>
        <s v="Excellent" u="1"/>
        <s v="poor" u="1"/>
      </sharedItems>
    </cacheField>
  </cacheFields>
  <cacheHierarchies count="25">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urrent price]" caption="Current price" attribute="1" defaultMemberUniqueName="[Range].[Current price].[All]" allUniqueName="[Range].[Current price].[All]" dimensionUniqueName="[Range]" displayFolder="" count="2" memberValueDatatype="20" unbalanced="0"/>
    <cacheHierarchy uniqueName="[Range].[Min/Max]" caption="Min/Max" attribute="1" defaultMemberUniqueName="[Range].[Min/Max].[All]" allUniqueName="[Range].[Min/Max].[All]" dimensionUniqueName="[Range]" displayFolder="" count="2" memberValueDatatype="20" unbalanced="0"/>
    <cacheHierarchy uniqueName="[Range].[old price]" caption="old price" attribute="1" defaultMemberUniqueName="[Range].[old price].[All]" allUniqueName="[Range].[old price].[All]" dimensionUniqueName="[Range]" displayFolder="" count="2" memberValueDatatype="20" unbalanced="0"/>
    <cacheHierarchy uniqueName="[Range].[disc pc]" caption="disc pc" attribute="1" defaultMemberUniqueName="[Range].[disc pc].[All]" allUniqueName="[Range].[disc pc].[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Review]" caption="Review" attribute="1" defaultMemberUniqueName="[Range].[Review].[All]" allUniqueName="[Range].[Review].[All]" dimensionUniqueName="[Range]" displayFolder="" count="2" memberValueDatatype="20" unbalanced="0"/>
    <cacheHierarchy uniqueName="[Range].[Reviewspos]" caption="Reviewspos" attribute="1" defaultMemberUniqueName="[Range].[Reviewspos].[All]" allUniqueName="[Range].[Reviewspos].[All]" dimensionUniqueName="[Range]" displayFolder="" count="2" memberValueDatatype="20" unbalanced="0"/>
    <cacheHierarchy uniqueName="[Range].[Ratingd]" caption="Ratingd" attribute="1" defaultMemberUniqueName="[Range].[Ratingd].[All]" allUniqueName="[Range].[Ratingd].[All]" dimensionUniqueName="[Range]" displayFolder="" count="2" memberValueDatatype="130" unbalanced="0"/>
    <cacheHierarchy uniqueName="[Range].[Correct-Ratings]" caption="Correct-Ratings" attribute="1" defaultMemberUniqueName="[Range].[Correct-Ratings].[All]" allUniqueName="[Range].[Correct-Ratings].[All]" dimensionUniqueName="[Range]" displayFolder="" count="2" memberValueDatatype="5" unbalanced="0"/>
    <cacheHierarchy uniqueName="[Range].[Discounted price]" caption="Discounted price" attribute="1" defaultMemberUniqueName="[Range].[Discounted price].[All]" allUniqueName="[Range].[Discounted price].[All]" dimensionUniqueName="[Range]" displayFolder="" count="2" memberValueDatatype="20" unbalanced="0"/>
    <cacheHierarchy uniqueName="[Range].[Rating]" caption="Rating" attribute="1" defaultMemberUniqueName="[Range].[Rating].[All]" allUniqueName="[Range].[Rating].[All]" dimensionUniqueName="[Range]" displayFolder="" count="2" memberValueDatatype="130" unbalanced="0">
      <fieldsUsage count="2">
        <fieldUsage x="-1"/>
        <fieldUsage x="3"/>
      </fieldsUsage>
    </cacheHierarchy>
    <cacheHierarchy uniqueName="[Range].[Discounts]" caption="Discounts" attribute="1" defaultMemberUniqueName="[Range].[Discounts].[All]" allUniqueName="[Range].[Discounts].[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iewspos]" caption="Sum of Reviewspos" measure="1" displayFolder="" measureGroup="Range" count="0" hidden="1">
      <extLst>
        <ext xmlns:x15="http://schemas.microsoft.com/office/spreadsheetml/2010/11/main" uri="{B97F6D7D-B522-45F9-BDA1-12C45D357490}">
          <x15:cacheHierarchy aggregatedColumn="7"/>
        </ext>
      </extLst>
    </cacheHierarchy>
    <cacheHierarchy uniqueName="[Measures].[Max of Reviewspos]" caption="Max of Reviewspos"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Ratingd]" caption="Sum of Ratingd" measure="1" displayFolder="" measureGroup="Range" count="0" hidden="1">
      <extLst>
        <ext xmlns:x15="http://schemas.microsoft.com/office/spreadsheetml/2010/11/main" uri="{B97F6D7D-B522-45F9-BDA1-12C45D357490}">
          <x15:cacheHierarchy aggregatedColumn="8"/>
        </ext>
      </extLst>
    </cacheHierarchy>
    <cacheHierarchy uniqueName="[Measures].[Sum of Correct-Ratings]" caption="Sum of Correct-Ratings" measure="1" displayFolder="" measureGroup="Range" count="0" hidden="1">
      <extLst>
        <ext xmlns:x15="http://schemas.microsoft.com/office/spreadsheetml/2010/11/main" uri="{B97F6D7D-B522-45F9-BDA1-12C45D357490}">
          <x15:cacheHierarchy aggregatedColumn="9"/>
        </ext>
      </extLst>
    </cacheHierarchy>
    <cacheHierarchy uniqueName="[Measures].[Max of Correct-Ratings]" caption="Max of Correct-Ratings" measure="1" displayFolder="" measureGroup="Range"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5"/>
        </ext>
      </extLst>
    </cacheHierarchy>
    <cacheHierarchy uniqueName="[Measures].[Average of Correct-Ratings]" caption="Average of Correct-Ratings" measure="1" displayFolder="" measureGroup="Range" count="0" hidden="1">
      <extLst>
        <ext xmlns:x15="http://schemas.microsoft.com/office/spreadsheetml/2010/11/main" uri="{B97F6D7D-B522-45F9-BDA1-12C45D357490}">
          <x15:cacheHierarchy aggregatedColumn="9"/>
        </ext>
      </extLst>
    </cacheHierarchy>
    <cacheHierarchy uniqueName="[Measures].[Max of Discount]" caption="Max of Discount" measure="1" displayFolder="" measureGroup="Range" count="0" hidden="1">
      <extLst>
        <ext xmlns:x15="http://schemas.microsoft.com/office/spreadsheetml/2010/11/main" uri="{B97F6D7D-B522-45F9-BDA1-12C45D357490}">
          <x15:cacheHierarchy aggregatedColumn="5"/>
        </ext>
      </extLst>
    </cacheHierarchy>
    <cacheHierarchy uniqueName="[Measures].[Count of Correct-Ratings]" caption="Count of Correct-Ratings" measure="1" displayFolder="" measureGroup="Range"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9.04765659722" backgroundQuery="1" createdVersion="6" refreshedVersion="6" minRefreshableVersion="3" recordCount="0" supportSubquery="1" supportAdvancedDrill="1" xr:uid="{00000000-000A-0000-FFFF-FFFF56010000}">
  <cacheSource type="external" connectionId="1"/>
  <cacheFields count="3">
    <cacheField name="[Range].[Product].[Product]" caption="Product" numFmtId="0" level="1">
      <sharedItems count="10">
        <s v="100 Pcs Crochet Hook Tool Set Knitting Hook Set With Box"/>
        <s v="120W Cordless Vacuum Cleaners Handheld Electric Vacuum Cleaner"/>
        <s v="137 Pieces Cake Decorating Tool Set Baking Supplies"/>
        <s v="3D Waterproof EVA Plastic Shower Curtain 1.8*2Mtrs"/>
        <s v="53 Pieces/Set Yarn Knitting Crochet Hooks With Bag - Pansies"/>
        <s v="Agapeon Toothbrush Holder And Toothpaste Dispenser"/>
        <s v="Electronic Digital Display Vernier Caliper"/>
        <s v="Portable Mini Cordless Car Vacuum Cleaner - Blue"/>
        <s v="Punch-free Great Load Bearing Bathroom Storage Rack Wall Shelf-White"/>
        <s v="VIC Wireless Vacuum Cleaner Dual Use For Home And Car 120W High Power Powerful"/>
      </sharedItems>
    </cacheField>
    <cacheField name="[Measures].[Max of Reviewspos]" caption="Max of Reviewspos" numFmtId="0" hierarchy="16" level="32767"/>
    <cacheField name="[Range].[Rating].[Rating]" caption="Rating" numFmtId="0" hierarchy="11" level="1">
      <sharedItems containsSemiMixedTypes="0" containsNonDate="0" containsString="0"/>
    </cacheField>
  </cacheFields>
  <cacheHierarchies count="25">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urrent price]" caption="Current price" attribute="1" defaultMemberUniqueName="[Range].[Current price].[All]" allUniqueName="[Range].[Current price].[All]" dimensionUniqueName="[Range]" displayFolder="" count="2" memberValueDatatype="20" unbalanced="0"/>
    <cacheHierarchy uniqueName="[Range].[Min/Max]" caption="Min/Max" attribute="1" defaultMemberUniqueName="[Range].[Min/Max].[All]" allUniqueName="[Range].[Min/Max].[All]" dimensionUniqueName="[Range]" displayFolder="" count="2" memberValueDatatype="20" unbalanced="0"/>
    <cacheHierarchy uniqueName="[Range].[old price]" caption="old price" attribute="1" defaultMemberUniqueName="[Range].[old price].[All]" allUniqueName="[Range].[old price].[All]" dimensionUniqueName="[Range]" displayFolder="" count="2" memberValueDatatype="20" unbalanced="0"/>
    <cacheHierarchy uniqueName="[Range].[disc pc]" caption="disc pc" attribute="1" defaultMemberUniqueName="[Range].[disc pc].[All]" allUniqueName="[Range].[disc pc].[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Review]" caption="Review" attribute="1" defaultMemberUniqueName="[Range].[Review].[All]" allUniqueName="[Range].[Review].[All]" dimensionUniqueName="[Range]" displayFolder="" count="2" memberValueDatatype="20" unbalanced="0"/>
    <cacheHierarchy uniqueName="[Range].[Reviewspos]" caption="Reviewspos" attribute="1" defaultMemberUniqueName="[Range].[Reviewspos].[All]" allUniqueName="[Range].[Reviewspos].[All]" dimensionUniqueName="[Range]" displayFolder="" count="2" memberValueDatatype="20" unbalanced="0"/>
    <cacheHierarchy uniqueName="[Range].[Ratingd]" caption="Ratingd" attribute="1" defaultMemberUniqueName="[Range].[Ratingd].[All]" allUniqueName="[Range].[Ratingd].[All]" dimensionUniqueName="[Range]" displayFolder="" count="2" memberValueDatatype="130" unbalanced="0"/>
    <cacheHierarchy uniqueName="[Range].[Correct-Ratings]" caption="Correct-Ratings" attribute="1" defaultMemberUniqueName="[Range].[Correct-Ratings].[All]" allUniqueName="[Range].[Correct-Ratings].[All]" dimensionUniqueName="[Range]" displayFolder="" count="2" memberValueDatatype="5" unbalanced="0"/>
    <cacheHierarchy uniqueName="[Range].[Discounted price]" caption="Discounted price" attribute="1" defaultMemberUniqueName="[Range].[Discounted price].[All]" allUniqueName="[Range].[Discounted price].[All]" dimensionUniqueName="[Range]" displayFolder="" count="2" memberValueDatatype="20" unbalanced="0"/>
    <cacheHierarchy uniqueName="[Range].[Rating]" caption="Rating" attribute="1" defaultMemberUniqueName="[Range].[Rating].[All]" allUniqueName="[Range].[Rating].[All]" dimensionUniqueName="[Range]" displayFolder="" count="2" memberValueDatatype="130" unbalanced="0">
      <fieldsUsage count="2">
        <fieldUsage x="-1"/>
        <fieldUsage x="2"/>
      </fieldsUsage>
    </cacheHierarchy>
    <cacheHierarchy uniqueName="[Range].[Discounts]" caption="Discounts" attribute="1" defaultMemberUniqueName="[Range].[Discounts].[All]" allUniqueName="[Range].[Discount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iewspos]" caption="Sum of Reviewspos" measure="1" displayFolder="" measureGroup="Range" count="0" hidden="1">
      <extLst>
        <ext xmlns:x15="http://schemas.microsoft.com/office/spreadsheetml/2010/11/main" uri="{B97F6D7D-B522-45F9-BDA1-12C45D357490}">
          <x15:cacheHierarchy aggregatedColumn="7"/>
        </ext>
      </extLst>
    </cacheHierarchy>
    <cacheHierarchy uniqueName="[Measures].[Max of Reviewspos]" caption="Max of Reviewspos"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Ratingd]" caption="Sum of Ratingd" measure="1" displayFolder="" measureGroup="Range" count="0" hidden="1">
      <extLst>
        <ext xmlns:x15="http://schemas.microsoft.com/office/spreadsheetml/2010/11/main" uri="{B97F6D7D-B522-45F9-BDA1-12C45D357490}">
          <x15:cacheHierarchy aggregatedColumn="8"/>
        </ext>
      </extLst>
    </cacheHierarchy>
    <cacheHierarchy uniqueName="[Measures].[Sum of Correct-Ratings]" caption="Sum of Correct-Ratings" measure="1" displayFolder="" measureGroup="Range" count="0" hidden="1">
      <extLst>
        <ext xmlns:x15="http://schemas.microsoft.com/office/spreadsheetml/2010/11/main" uri="{B97F6D7D-B522-45F9-BDA1-12C45D357490}">
          <x15:cacheHierarchy aggregatedColumn="9"/>
        </ext>
      </extLst>
    </cacheHierarchy>
    <cacheHierarchy uniqueName="[Measures].[Max of Correct-Ratings]" caption="Max of Correct-Ratings" measure="1" displayFolder="" measureGroup="Range"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5"/>
        </ext>
      </extLst>
    </cacheHierarchy>
    <cacheHierarchy uniqueName="[Measures].[Average of Correct-Ratings]" caption="Average of Correct-Ratings" measure="1" displayFolder="" measureGroup="Range" count="0" hidden="1">
      <extLst>
        <ext xmlns:x15="http://schemas.microsoft.com/office/spreadsheetml/2010/11/main" uri="{B97F6D7D-B522-45F9-BDA1-12C45D357490}">
          <x15:cacheHierarchy aggregatedColumn="9"/>
        </ext>
      </extLst>
    </cacheHierarchy>
    <cacheHierarchy uniqueName="[Measures].[Max of Discount]" caption="Max of Discount" measure="1" displayFolder="" measureGroup="Range" count="0" hidden="1">
      <extLst>
        <ext xmlns:x15="http://schemas.microsoft.com/office/spreadsheetml/2010/11/main" uri="{B97F6D7D-B522-45F9-BDA1-12C45D357490}">
          <x15:cacheHierarchy aggregatedColumn="5"/>
        </ext>
      </extLst>
    </cacheHierarchy>
    <cacheHierarchy uniqueName="[Measures].[Count of Correct-Ratings]" caption="Count of Correct-Ratings" measure="1" displayFolder="" measureGroup="Range"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9.709522453704" backgroundQuery="1" createdVersion="6" refreshedVersion="6" minRefreshableVersion="3" recordCount="0" supportSubquery="1" supportAdvancedDrill="1" xr:uid="{00000000-000A-0000-FFFF-FFFF5F010000}">
  <cacheSource type="external" connectionId="1"/>
  <cacheFields count="3">
    <cacheField name="[Range].[Product].[Product]" caption="Product" numFmtId="0" level="1">
      <sharedItems count="5">
        <s v="Anti-Skid Absorbent Insulation Coaster  For Home Office"/>
        <s v="Bedroom Simple Floor Hanging Clothes Rack Single Pole Hat Rack - White"/>
        <s v="Classic Black Cat Cotton Hemp Pillow Case For Home Car"/>
        <s v="DIY File Folder, Office Drawer File Holder, Pen Holder, Desktop Storage Rack"/>
        <s v="Konka Healty Electric Kettle, 24-hour Heat Preservation,1.5L,800W, White"/>
      </sharedItems>
    </cacheField>
    <cacheField name="[Range].[Rating].[Rating]" caption="Rating" numFmtId="0" hierarchy="11" level="1">
      <sharedItems containsSemiMixedTypes="0" containsNonDate="0" containsString="0"/>
    </cacheField>
    <cacheField name="[Measures].[Average of Correct-Ratings]" caption="Average of Correct-Ratings" numFmtId="0" hierarchy="21" level="32767"/>
  </cacheFields>
  <cacheHierarchies count="25">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urrent price]" caption="Current price" attribute="1" defaultMemberUniqueName="[Range].[Current price].[All]" allUniqueName="[Range].[Current price].[All]" dimensionUniqueName="[Range]" displayFolder="" count="2" memberValueDatatype="20" unbalanced="0"/>
    <cacheHierarchy uniqueName="[Range].[Min/Max]" caption="Min/Max" attribute="1" defaultMemberUniqueName="[Range].[Min/Max].[All]" allUniqueName="[Range].[Min/Max].[All]" dimensionUniqueName="[Range]" displayFolder="" count="2" memberValueDatatype="20" unbalanced="0"/>
    <cacheHierarchy uniqueName="[Range].[old price]" caption="old price" attribute="1" defaultMemberUniqueName="[Range].[old price].[All]" allUniqueName="[Range].[old price].[All]" dimensionUniqueName="[Range]" displayFolder="" count="2" memberValueDatatype="20" unbalanced="0"/>
    <cacheHierarchy uniqueName="[Range].[disc pc]" caption="disc pc" attribute="1" defaultMemberUniqueName="[Range].[disc pc].[All]" allUniqueName="[Range].[disc pc].[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Review]" caption="Review" attribute="1" defaultMemberUniqueName="[Range].[Review].[All]" allUniqueName="[Range].[Review].[All]" dimensionUniqueName="[Range]" displayFolder="" count="2" memberValueDatatype="20" unbalanced="0"/>
    <cacheHierarchy uniqueName="[Range].[Reviewspos]" caption="Reviewspos" attribute="1" defaultMemberUniqueName="[Range].[Reviewspos].[All]" allUniqueName="[Range].[Reviewspos].[All]" dimensionUniqueName="[Range]" displayFolder="" count="2" memberValueDatatype="20" unbalanced="0"/>
    <cacheHierarchy uniqueName="[Range].[Ratingd]" caption="Ratingd" attribute="1" defaultMemberUniqueName="[Range].[Ratingd].[All]" allUniqueName="[Range].[Ratingd].[All]" dimensionUniqueName="[Range]" displayFolder="" count="2" memberValueDatatype="130" unbalanced="0"/>
    <cacheHierarchy uniqueName="[Range].[Correct-Ratings]" caption="Correct-Ratings" attribute="1" defaultMemberUniqueName="[Range].[Correct-Ratings].[All]" allUniqueName="[Range].[Correct-Ratings].[All]" dimensionUniqueName="[Range]" displayFolder="" count="2" memberValueDatatype="5" unbalanced="0"/>
    <cacheHierarchy uniqueName="[Range].[Discounted price]" caption="Discounted price" attribute="1" defaultMemberUniqueName="[Range].[Discounted price].[All]" allUniqueName="[Range].[Discounted price].[All]" dimensionUniqueName="[Range]" displayFolder="" count="2" memberValueDatatype="20" unbalanced="0"/>
    <cacheHierarchy uniqueName="[Range].[Rating]" caption="Rating" attribute="1" defaultMemberUniqueName="[Range].[Rating].[All]" allUniqueName="[Range].[Rating].[All]" dimensionUniqueName="[Range]" displayFolder="" count="2" memberValueDatatype="130" unbalanced="0">
      <fieldsUsage count="2">
        <fieldUsage x="-1"/>
        <fieldUsage x="1"/>
      </fieldsUsage>
    </cacheHierarchy>
    <cacheHierarchy uniqueName="[Range].[Discounts]" caption="Discounts" attribute="1" defaultMemberUniqueName="[Range].[Discounts].[All]" allUniqueName="[Range].[Discount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iewspos]" caption="Sum of Reviewspos" measure="1" displayFolder="" measureGroup="Range" count="0" hidden="1">
      <extLst>
        <ext xmlns:x15="http://schemas.microsoft.com/office/spreadsheetml/2010/11/main" uri="{B97F6D7D-B522-45F9-BDA1-12C45D357490}">
          <x15:cacheHierarchy aggregatedColumn="7"/>
        </ext>
      </extLst>
    </cacheHierarchy>
    <cacheHierarchy uniqueName="[Measures].[Max of Reviewspos]" caption="Max of Reviewspos" measure="1" displayFolder="" measureGroup="Range" count="0" hidden="1">
      <extLst>
        <ext xmlns:x15="http://schemas.microsoft.com/office/spreadsheetml/2010/11/main" uri="{B97F6D7D-B522-45F9-BDA1-12C45D357490}">
          <x15:cacheHierarchy aggregatedColumn="7"/>
        </ext>
      </extLst>
    </cacheHierarchy>
    <cacheHierarchy uniqueName="[Measures].[Sum of Ratingd]" caption="Sum of Ratingd" measure="1" displayFolder="" measureGroup="Range" count="0" hidden="1">
      <extLst>
        <ext xmlns:x15="http://schemas.microsoft.com/office/spreadsheetml/2010/11/main" uri="{B97F6D7D-B522-45F9-BDA1-12C45D357490}">
          <x15:cacheHierarchy aggregatedColumn="8"/>
        </ext>
      </extLst>
    </cacheHierarchy>
    <cacheHierarchy uniqueName="[Measures].[Sum of Correct-Ratings]" caption="Sum of Correct-Ratings" measure="1" displayFolder="" measureGroup="Range" count="0" hidden="1">
      <extLst>
        <ext xmlns:x15="http://schemas.microsoft.com/office/spreadsheetml/2010/11/main" uri="{B97F6D7D-B522-45F9-BDA1-12C45D357490}">
          <x15:cacheHierarchy aggregatedColumn="9"/>
        </ext>
      </extLst>
    </cacheHierarchy>
    <cacheHierarchy uniqueName="[Measures].[Max of Correct-Ratings]" caption="Max of Correct-Ratings" measure="1" displayFolder="" measureGroup="Range"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5"/>
        </ext>
      </extLst>
    </cacheHierarchy>
    <cacheHierarchy uniqueName="[Measures].[Average of Correct-Ratings]" caption="Average of Correct-Ratings" measure="1" displayFolder="" measureGroup="Range" count="0" oneField="1" hidden="1">
      <fieldsUsage count="1">
        <fieldUsage x="2"/>
      </fieldsUsage>
      <extLst>
        <ext xmlns:x15="http://schemas.microsoft.com/office/spreadsheetml/2010/11/main" uri="{B97F6D7D-B522-45F9-BDA1-12C45D357490}">
          <x15:cacheHierarchy aggregatedColumn="9"/>
        </ext>
      </extLst>
    </cacheHierarchy>
    <cacheHierarchy uniqueName="[Measures].[Max of Discount]" caption="Max of Discount" measure="1" displayFolder="" measureGroup="Range" count="0" hidden="1">
      <extLst>
        <ext xmlns:x15="http://schemas.microsoft.com/office/spreadsheetml/2010/11/main" uri="{B97F6D7D-B522-45F9-BDA1-12C45D357490}">
          <x15:cacheHierarchy aggregatedColumn="5"/>
        </ext>
      </extLst>
    </cacheHierarchy>
    <cacheHierarchy uniqueName="[Measures].[Count of Correct-Ratings]" caption="Count of Correct-Ratings" measure="1" displayFolder="" measureGroup="Range"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48.989344675923" backgroundQuery="1" createdVersion="3" refreshedVersion="6" minRefreshableVersion="3" recordCount="0" supportSubquery="1" supportAdvancedDrill="1" xr:uid="{00000000-000A-0000-FFFF-FFFFF1000000}">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Range].[Product]" caption="Product" attribute="1" defaultMemberUniqueName="[Range].[Product].[All]" allUniqueName="[Range].[Product].[All]" dimensionUniqueName="[Range]" displayFolder="" count="0" memberValueDatatype="130" unbalanced="0"/>
    <cacheHierarchy uniqueName="[Range].[Current price]" caption="Current price" attribute="1" defaultMemberUniqueName="[Range].[Current price].[All]" allUniqueName="[Range].[Current price].[All]" dimensionUniqueName="[Range]" displayFolder="" count="0" memberValueDatatype="20" unbalanced="0"/>
    <cacheHierarchy uniqueName="[Range].[Min/Max]" caption="Min/Max" attribute="1" defaultMemberUniqueName="[Range].[Min/Max].[All]" allUniqueName="[Range].[Min/Max].[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20" unbalanced="0"/>
    <cacheHierarchy uniqueName="[Range].[disc pc]" caption="disc pc" attribute="1" defaultMemberUniqueName="[Range].[disc pc].[All]" allUniqueName="[Range].[disc pc].[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Review]" caption="Review" attribute="1" defaultMemberUniqueName="[Range].[Review].[All]" allUniqueName="[Range].[Review].[All]" dimensionUniqueName="[Range]" displayFolder="" count="2" memberValueDatatype="20" unbalanced="0"/>
    <cacheHierarchy uniqueName="[Range].[Reviewspos]" caption="Reviewspos" attribute="1" defaultMemberUniqueName="[Range].[Reviewspos].[All]" allUniqueName="[Range].[Reviewspos].[All]" dimensionUniqueName="[Range]" displayFolder="" count="2" memberValueDatatype="20" unbalanced="0"/>
    <cacheHierarchy uniqueName="[Range].[Ratingd]" caption="Ratingd" attribute="1" defaultMemberUniqueName="[Range].[Ratingd].[All]" allUniqueName="[Range].[Ratingd].[All]" dimensionUniqueName="[Range]" displayFolder="" count="2" memberValueDatatype="130" unbalanced="0"/>
    <cacheHierarchy uniqueName="[Range].[Correct-Ratings]" caption="Correct-Ratings" attribute="1" defaultMemberUniqueName="[Range].[Correct-Ratings].[All]" allUniqueName="[Range].[Correct-Ratings].[All]" dimensionUniqueName="[Range]" displayFolder="" count="0" memberValueDatatype="5" unbalanced="0"/>
    <cacheHierarchy uniqueName="[Range].[Discounted price]" caption="Discounted price" attribute="1" defaultMemberUniqueName="[Range].[Discounted price].[All]" allUniqueName="[Range].[Discounted price].[All]" dimensionUniqueName="[Range]" displayFolder="" count="0" memberValueDatatype="20" unbalanced="0"/>
    <cacheHierarchy uniqueName="[Range].[Rating]" caption="Rating" attribute="1" defaultMemberUniqueName="[Range].[Rating].[All]" allUniqueName="[Range].[Rating].[All]" dimensionUniqueName="[Range]" displayFolder="" count="2" memberValueDatatype="130" unbalanced="0"/>
    <cacheHierarchy uniqueName="[Range].[Discounts]" caption="Discounts" attribute="1" defaultMemberUniqueName="[Range].[Discounts].[All]" allUniqueName="[Range].[Discount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iewspos]" caption="Sum of Reviewspos" measure="1" displayFolder="" measureGroup="Range" count="0" hidden="1">
      <extLst>
        <ext xmlns:x15="http://schemas.microsoft.com/office/spreadsheetml/2010/11/main" uri="{B97F6D7D-B522-45F9-BDA1-12C45D357490}">
          <x15:cacheHierarchy aggregatedColumn="7"/>
        </ext>
      </extLst>
    </cacheHierarchy>
    <cacheHierarchy uniqueName="[Measures].[Max of Reviewspos]" caption="Max of Reviewspos" measure="1" displayFolder="" measureGroup="Range" count="0" hidden="1">
      <extLst>
        <ext xmlns:x15="http://schemas.microsoft.com/office/spreadsheetml/2010/11/main" uri="{B97F6D7D-B522-45F9-BDA1-12C45D357490}">
          <x15:cacheHierarchy aggregatedColumn="7"/>
        </ext>
      </extLst>
    </cacheHierarchy>
    <cacheHierarchy uniqueName="[Measures].[Sum of Ratingd]" caption="Sum of Ratingd" measure="1" displayFolder="" measureGroup="Range" count="0" hidden="1">
      <extLst>
        <ext xmlns:x15="http://schemas.microsoft.com/office/spreadsheetml/2010/11/main" uri="{B97F6D7D-B522-45F9-BDA1-12C45D357490}">
          <x15:cacheHierarchy aggregatedColumn="8"/>
        </ext>
      </extLst>
    </cacheHierarchy>
    <cacheHierarchy uniqueName="[Measures].[Sum of Correct-Ratings]" caption="Sum of Correct-Ratings" measure="1" displayFolder="" measureGroup="Range" count="0" hidden="1">
      <extLst>
        <ext xmlns:x15="http://schemas.microsoft.com/office/spreadsheetml/2010/11/main" uri="{B97F6D7D-B522-45F9-BDA1-12C45D357490}">
          <x15:cacheHierarchy aggregatedColumn="9"/>
        </ext>
      </extLst>
    </cacheHierarchy>
    <cacheHierarchy uniqueName="[Measures].[Max of Correct-Ratings]" caption="Max of Correct-Ratings" measure="1" displayFolder="" measureGroup="Range"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5"/>
        </ext>
      </extLst>
    </cacheHierarchy>
    <cacheHierarchy uniqueName="[Measures].[Average of Correct-Ratings]" caption="Average of Correct-Ratings" measure="1" displayFolder="" measureGroup="Range" count="0" hidden="1">
      <extLst>
        <ext xmlns:x15="http://schemas.microsoft.com/office/spreadsheetml/2010/11/main" uri="{B97F6D7D-B522-45F9-BDA1-12C45D357490}">
          <x15:cacheHierarchy aggregatedColumn="9"/>
        </ext>
      </extLst>
    </cacheHierarchy>
    <cacheHierarchy uniqueName="[Measures].[Max of Discount]" caption="Max of Discount" measure="1" displayFolder="" measureGroup="Range" count="0" hidden="1">
      <extLst>
        <ext xmlns:x15="http://schemas.microsoft.com/office/spreadsheetml/2010/11/main" uri="{B97F6D7D-B522-45F9-BDA1-12C45D357490}">
          <x15:cacheHierarchy aggregatedColumn="5"/>
        </ext>
      </extLst>
    </cacheHierarchy>
    <cacheHierarchy uniqueName="[Measures].[Count of Correct-Ratings]" caption="Count of Correct-Ratings" measure="1" displayFolder="" measureGroup="Range"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64393172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115">
  <r>
    <x v="0"/>
    <x v="0"/>
    <x v="0"/>
    <x v="0"/>
    <x v="0"/>
    <x v="0"/>
    <s v="4.5 out of 5"/>
    <x v="0"/>
    <n v="575"/>
    <s v="Excellent"/>
    <s v="Medium"/>
  </r>
  <r>
    <x v="1"/>
    <x v="1"/>
    <x v="1"/>
    <x v="1"/>
    <x v="1"/>
    <x v="1"/>
    <s v="4.1 out of 5"/>
    <x v="1"/>
    <n v="472"/>
    <s v="Average"/>
    <s v="high"/>
  </r>
  <r>
    <x v="2"/>
    <x v="2"/>
    <x v="2"/>
    <x v="2"/>
    <x v="2"/>
    <x v="2"/>
    <s v="4.6 out of 5"/>
    <x v="2"/>
    <n v="724"/>
    <s v="Excellent"/>
    <s v="Medium"/>
  </r>
  <r>
    <x v="3"/>
    <x v="3"/>
    <x v="3"/>
    <x v="3"/>
    <x v="3"/>
    <x v="3"/>
    <s v="4.7 out of 5"/>
    <x v="3"/>
    <n v="919"/>
    <s v="Excellent"/>
    <s v="Medium"/>
  </r>
  <r>
    <x v="4"/>
    <x v="4"/>
    <x v="4"/>
    <x v="4"/>
    <x v="4"/>
    <x v="4"/>
    <s v="4.8 out of 5"/>
    <x v="4"/>
    <n v="616"/>
    <s v="Excellent"/>
    <s v="Medium"/>
  </r>
  <r>
    <x v="5"/>
    <x v="5"/>
    <x v="5"/>
    <x v="5"/>
    <x v="5"/>
    <x v="5"/>
    <s v="4 out of 5"/>
    <x v="5"/>
    <n v="291"/>
    <s v="Average"/>
    <s v="Low"/>
  </r>
  <r>
    <x v="6"/>
    <x v="6"/>
    <x v="6"/>
    <x v="6"/>
    <x v="6"/>
    <x v="6"/>
    <s v="4.6 out of 5"/>
    <x v="2"/>
    <n v="713"/>
    <s v="Excellent"/>
    <s v="Medium"/>
  </r>
  <r>
    <x v="7"/>
    <x v="7"/>
    <x v="7"/>
    <x v="3"/>
    <x v="0"/>
    <x v="0"/>
    <s v="4 out of 5"/>
    <x v="5"/>
    <n v="592"/>
    <s v="Average"/>
    <s v="Medium"/>
  </r>
  <r>
    <x v="8"/>
    <x v="8"/>
    <x v="8"/>
    <x v="7"/>
    <x v="4"/>
    <x v="4"/>
    <s v="4.8 out of 5"/>
    <x v="4"/>
    <n v="1526"/>
    <s v="Excellent"/>
    <s v="high"/>
  </r>
  <r>
    <x v="9"/>
    <x v="9"/>
    <x v="9"/>
    <x v="8"/>
    <x v="4"/>
    <x v="4"/>
    <s v="3.8 out of 5"/>
    <x v="6"/>
    <n v="1329"/>
    <s v="Average"/>
    <s v="high"/>
  </r>
  <r>
    <x v="10"/>
    <x v="10"/>
    <x v="1"/>
    <x v="9"/>
    <x v="7"/>
    <x v="7"/>
    <s v="4.1 out of 5"/>
    <x v="1"/>
    <n v="200"/>
    <s v="Average"/>
    <s v="Low"/>
  </r>
  <r>
    <x v="11"/>
    <x v="11"/>
    <x v="10"/>
    <x v="10"/>
    <x v="8"/>
    <x v="8"/>
    <s v="4.7 out of 5"/>
    <x v="3"/>
    <n v="510"/>
    <s v="Excellent"/>
    <s v="Medium"/>
  </r>
  <r>
    <x v="12"/>
    <x v="12"/>
    <x v="11"/>
    <x v="1"/>
    <x v="7"/>
    <x v="7"/>
    <s v="4.8 out of 5"/>
    <x v="4"/>
    <n v="483"/>
    <s v="Excellent"/>
    <s v="high"/>
  </r>
  <r>
    <x v="13"/>
    <x v="13"/>
    <x v="12"/>
    <x v="11"/>
    <x v="9"/>
    <x v="9"/>
    <s v="4.5 out of 5"/>
    <x v="0"/>
    <n v="359"/>
    <s v="Excellent"/>
    <s v="high"/>
  </r>
  <r>
    <x v="14"/>
    <x v="14"/>
    <x v="3"/>
    <x v="12"/>
    <x v="10"/>
    <x v="10"/>
    <s v="4.2 out of 5"/>
    <x v="7"/>
    <n v="819"/>
    <s v="Average"/>
    <s v="Medium"/>
  </r>
  <r>
    <x v="15"/>
    <x v="15"/>
    <x v="13"/>
    <x v="13"/>
    <x v="0"/>
    <x v="0"/>
    <s v="5 out of 5"/>
    <x v="8"/>
    <n v="352"/>
    <s v="Excellent"/>
    <s v="high"/>
  </r>
  <r>
    <x v="16"/>
    <x v="16"/>
    <x v="14"/>
    <x v="14"/>
    <x v="0"/>
    <x v="0"/>
    <s v="5 out of 5"/>
    <x v="8"/>
    <n v="165"/>
    <s v="Excellent"/>
    <s v="high"/>
  </r>
  <r>
    <x v="17"/>
    <x v="17"/>
    <x v="15"/>
    <x v="15"/>
    <x v="11"/>
    <x v="11"/>
    <s v="5 out of 5"/>
    <x v="8"/>
    <n v="1946"/>
    <s v="Excellent"/>
    <s v="high"/>
  </r>
  <r>
    <x v="18"/>
    <x v="5"/>
    <x v="16"/>
    <x v="16"/>
    <x v="4"/>
    <x v="4"/>
    <s v="4.6 out of 5"/>
    <x v="2"/>
    <n v="700"/>
    <s v="Excellent"/>
    <s v="Low"/>
  </r>
  <r>
    <x v="19"/>
    <x v="18"/>
    <x v="17"/>
    <x v="15"/>
    <x v="12"/>
    <x v="12"/>
    <s v="4.6 out of 5"/>
    <x v="2"/>
    <n v="968"/>
    <s v="Excellent"/>
    <s v="high"/>
  </r>
  <r>
    <x v="20"/>
    <x v="19"/>
    <x v="18"/>
    <x v="17"/>
    <x v="13"/>
    <x v="13"/>
    <s v="3.3 out of 5"/>
    <x v="9"/>
    <n v="42"/>
    <s v="Average"/>
    <s v="high"/>
  </r>
  <r>
    <x v="21"/>
    <x v="20"/>
    <x v="19"/>
    <x v="11"/>
    <x v="14"/>
    <x v="14"/>
    <s v="NIL"/>
    <x v="10"/>
    <n v="1360"/>
    <s v="poor"/>
    <s v="high"/>
  </r>
  <r>
    <x v="22"/>
    <x v="21"/>
    <x v="20"/>
    <x v="18"/>
    <x v="9"/>
    <x v="9"/>
    <s v="4 out of 5"/>
    <x v="5"/>
    <n v="470"/>
    <s v="Average"/>
    <s v="Medium"/>
  </r>
  <r>
    <x v="23"/>
    <x v="22"/>
    <x v="21"/>
    <x v="19"/>
    <x v="1"/>
    <x v="1"/>
    <s v="4.4 out of 5"/>
    <x v="11"/>
    <n v="500"/>
    <s v="Average"/>
    <s v="Medium"/>
  </r>
  <r>
    <x v="24"/>
    <x v="23"/>
    <x v="22"/>
    <x v="20"/>
    <x v="3"/>
    <x v="3"/>
    <s v="4.3 out of 5"/>
    <x v="12"/>
    <n v="2452"/>
    <s v="Average"/>
    <s v="high"/>
  </r>
  <r>
    <x v="25"/>
    <x v="24"/>
    <x v="23"/>
    <x v="18"/>
    <x v="15"/>
    <x v="15"/>
    <s v="4.6 out of 5"/>
    <x v="2"/>
    <n v="227"/>
    <s v="Excellent"/>
    <s v="Medium"/>
  </r>
  <r>
    <x v="26"/>
    <x v="25"/>
    <x v="24"/>
    <x v="21"/>
    <x v="7"/>
    <x v="7"/>
    <s v="3.8 out of 5"/>
    <x v="6"/>
    <n v="640"/>
    <s v="Average"/>
    <s v="Low"/>
  </r>
  <r>
    <x v="27"/>
    <x v="26"/>
    <x v="25"/>
    <x v="22"/>
    <x v="13"/>
    <x v="13"/>
    <s v="3.8 out of 5"/>
    <x v="6"/>
    <n v="640"/>
    <s v="Average"/>
    <s v="Medium"/>
  </r>
  <r>
    <x v="28"/>
    <x v="27"/>
    <x v="3"/>
    <x v="23"/>
    <x v="16"/>
    <x v="16"/>
    <s v="4.1 out of 5"/>
    <x v="1"/>
    <n v="741"/>
    <s v="Average"/>
    <s v="Medium"/>
  </r>
  <r>
    <x v="29"/>
    <x v="28"/>
    <x v="26"/>
    <x v="14"/>
    <x v="14"/>
    <x v="14"/>
    <s v="NIL"/>
    <x v="10"/>
    <n v="1880"/>
    <s v="poor"/>
    <s v="high"/>
  </r>
  <r>
    <x v="30"/>
    <x v="29"/>
    <x v="27"/>
    <x v="24"/>
    <x v="10"/>
    <x v="10"/>
    <s v="4.3 out of 5"/>
    <x v="12"/>
    <n v="197"/>
    <s v="Average"/>
    <s v="high"/>
  </r>
  <r>
    <x v="31"/>
    <x v="30"/>
    <x v="28"/>
    <x v="10"/>
    <x v="7"/>
    <x v="7"/>
    <s v="4.7 out of 5"/>
    <x v="3"/>
    <n v="510"/>
    <s v="Excellent"/>
    <s v="Medium"/>
  </r>
  <r>
    <x v="32"/>
    <x v="31"/>
    <x v="29"/>
    <x v="25"/>
    <x v="10"/>
    <x v="10"/>
    <s v="4.3 out of 5"/>
    <x v="12"/>
    <n v="1670"/>
    <s v="Average"/>
    <s v="high"/>
  </r>
  <r>
    <x v="33"/>
    <x v="32"/>
    <x v="30"/>
    <x v="26"/>
    <x v="16"/>
    <x v="16"/>
    <s v="4.7 out of 5"/>
    <x v="3"/>
    <n v="710"/>
    <s v="Excellent"/>
    <s v="Medium"/>
  </r>
  <r>
    <x v="34"/>
    <x v="33"/>
    <x v="31"/>
    <x v="26"/>
    <x v="17"/>
    <x v="17"/>
    <s v="4.5 out of 5"/>
    <x v="0"/>
    <n v="719"/>
    <s v="Excellent"/>
    <s v="Medium"/>
  </r>
  <r>
    <x v="35"/>
    <x v="34"/>
    <x v="32"/>
    <x v="27"/>
    <x v="18"/>
    <x v="18"/>
    <s v="5 out of 5"/>
    <x v="8"/>
    <n v="1070"/>
    <s v="Excellent"/>
    <s v="Medium"/>
  </r>
  <r>
    <x v="36"/>
    <x v="35"/>
    <x v="14"/>
    <x v="17"/>
    <x v="0"/>
    <x v="0"/>
    <s v="5 out of 5"/>
    <x v="8"/>
    <n v="189"/>
    <s v="Excellent"/>
    <s v="high"/>
  </r>
  <r>
    <x v="37"/>
    <x v="36"/>
    <x v="33"/>
    <x v="28"/>
    <x v="19"/>
    <x v="19"/>
    <s v="4.3 out of 5"/>
    <x v="12"/>
    <n v="267"/>
    <s v="Average"/>
    <s v="high"/>
  </r>
  <r>
    <x v="38"/>
    <x v="37"/>
    <x v="34"/>
    <x v="0"/>
    <x v="0"/>
    <x v="0"/>
    <s v="4.5 out of 5"/>
    <x v="0"/>
    <e v="#VALUE!"/>
    <s v="Excellent"/>
    <s v="Medium"/>
  </r>
  <r>
    <x v="39"/>
    <x v="38"/>
    <x v="35"/>
    <x v="0"/>
    <x v="14"/>
    <x v="14"/>
    <s v="NIL"/>
    <x v="10"/>
    <n v="1721"/>
    <s v="poor"/>
    <s v="Medium"/>
  </r>
  <r>
    <x v="40"/>
    <x v="39"/>
    <x v="36"/>
    <x v="15"/>
    <x v="14"/>
    <x v="14"/>
    <s v="NIL"/>
    <x v="10"/>
    <n v="456"/>
    <s v="poor"/>
    <s v="high"/>
  </r>
  <r>
    <x v="41"/>
    <x v="40"/>
    <x v="37"/>
    <x v="29"/>
    <x v="14"/>
    <x v="14"/>
    <s v="NIL"/>
    <x v="10"/>
    <n v="238"/>
    <s v="poor"/>
    <s v="high"/>
  </r>
  <r>
    <x v="42"/>
    <x v="41"/>
    <x v="38"/>
    <x v="11"/>
    <x v="14"/>
    <x v="14"/>
    <s v="NIL"/>
    <x v="10"/>
    <n v="450"/>
    <s v="poor"/>
    <s v="high"/>
  </r>
  <r>
    <x v="43"/>
    <x v="42"/>
    <x v="39"/>
    <x v="11"/>
    <x v="14"/>
    <x v="14"/>
    <s v="NIL"/>
    <x v="10"/>
    <n v="37"/>
    <s v="poor"/>
    <s v="high"/>
  </r>
  <r>
    <x v="44"/>
    <x v="43"/>
    <x v="40"/>
    <x v="30"/>
    <x v="14"/>
    <x v="14"/>
    <s v="NIL"/>
    <x v="10"/>
    <n v="1001"/>
    <s v="poor"/>
    <s v="Low"/>
  </r>
  <r>
    <x v="45"/>
    <x v="44"/>
    <x v="41"/>
    <x v="29"/>
    <x v="14"/>
    <x v="14"/>
    <s v="NIL"/>
    <x v="10"/>
    <n v="595"/>
    <s v="poor"/>
    <s v="high"/>
  </r>
  <r>
    <x v="46"/>
    <x v="45"/>
    <x v="42"/>
    <x v="12"/>
    <x v="14"/>
    <x v="14"/>
    <s v="NIL"/>
    <x v="10"/>
    <n v="645"/>
    <s v="poor"/>
    <s v="Medium"/>
  </r>
  <r>
    <x v="47"/>
    <x v="46"/>
    <x v="43"/>
    <x v="15"/>
    <x v="14"/>
    <x v="14"/>
    <s v="NIL"/>
    <x v="10"/>
    <n v="750"/>
    <s v="poor"/>
    <s v="high"/>
  </r>
  <r>
    <x v="48"/>
    <x v="47"/>
    <x v="44"/>
    <x v="0"/>
    <x v="14"/>
    <x v="14"/>
    <s v="NIL"/>
    <x v="10"/>
    <n v="305"/>
    <s v="poor"/>
    <s v="Medium"/>
  </r>
  <r>
    <x v="49"/>
    <x v="48"/>
    <x v="45"/>
    <x v="31"/>
    <x v="14"/>
    <x v="14"/>
    <s v="NIL"/>
    <x v="10"/>
    <n v="301"/>
    <s v="poor"/>
    <s v="high"/>
  </r>
  <r>
    <x v="50"/>
    <x v="49"/>
    <x v="46"/>
    <x v="29"/>
    <x v="14"/>
    <x v="14"/>
    <s v="NIL"/>
    <x v="10"/>
    <n v="39"/>
    <s v="poor"/>
    <s v="high"/>
  </r>
  <r>
    <x v="51"/>
    <x v="48"/>
    <x v="47"/>
    <x v="30"/>
    <x v="14"/>
    <x v="14"/>
    <s v="NIL"/>
    <x v="10"/>
    <n v="85"/>
    <s v="poor"/>
    <s v="Low"/>
  </r>
  <r>
    <x v="52"/>
    <x v="50"/>
    <x v="48"/>
    <x v="32"/>
    <x v="14"/>
    <x v="14"/>
    <s v="NIL"/>
    <x v="10"/>
    <n v="40"/>
    <s v="poor"/>
    <s v="Medium"/>
  </r>
  <r>
    <x v="53"/>
    <x v="10"/>
    <x v="49"/>
    <x v="33"/>
    <x v="14"/>
    <x v="14"/>
    <s v="NIL"/>
    <x v="10"/>
    <n v="544"/>
    <s v="poor"/>
    <s v="Low"/>
  </r>
  <r>
    <x v="54"/>
    <x v="51"/>
    <x v="50"/>
    <x v="28"/>
    <x v="14"/>
    <x v="14"/>
    <s v="NIL"/>
    <x v="10"/>
    <n v="401"/>
    <s v="poor"/>
    <s v="high"/>
  </r>
  <r>
    <x v="55"/>
    <x v="52"/>
    <x v="49"/>
    <x v="8"/>
    <x v="14"/>
    <x v="14"/>
    <s v="NIL"/>
    <x v="10"/>
    <n v="644"/>
    <s v="poor"/>
    <s v="high"/>
  </r>
  <r>
    <x v="56"/>
    <x v="10"/>
    <x v="51"/>
    <x v="25"/>
    <x v="14"/>
    <x v="14"/>
    <s v="NIL"/>
    <x v="10"/>
    <n v="768"/>
    <s v="poor"/>
    <s v="high"/>
  </r>
  <r>
    <x v="57"/>
    <x v="53"/>
    <x v="52"/>
    <x v="15"/>
    <x v="14"/>
    <x v="14"/>
    <s v="NIL"/>
    <x v="10"/>
    <n v="1011"/>
    <s v="poor"/>
    <s v="high"/>
  </r>
  <r>
    <x v="58"/>
    <x v="54"/>
    <x v="53"/>
    <x v="26"/>
    <x v="9"/>
    <x v="9"/>
    <s v="2.5 out of 5"/>
    <x v="13"/>
    <n v="330"/>
    <s v="poor"/>
    <s v="Medium"/>
  </r>
  <r>
    <x v="59"/>
    <x v="55"/>
    <x v="54"/>
    <x v="7"/>
    <x v="20"/>
    <x v="20"/>
    <s v="3 out of 5"/>
    <x v="14"/>
    <n v="528"/>
    <s v="poor"/>
    <s v="high"/>
  </r>
  <r>
    <x v="60"/>
    <x v="56"/>
    <x v="55"/>
    <x v="34"/>
    <x v="13"/>
    <x v="13"/>
    <s v="2.1 out of 5"/>
    <x v="15"/>
    <n v="2585"/>
    <s v="poor"/>
    <s v="Low"/>
  </r>
  <r>
    <x v="61"/>
    <x v="57"/>
    <x v="56"/>
    <x v="20"/>
    <x v="21"/>
    <x v="21"/>
    <s v="2.8 out of 5"/>
    <x v="16"/>
    <n v="428"/>
    <s v="poor"/>
    <s v="high"/>
  </r>
  <r>
    <x v="62"/>
    <x v="58"/>
    <x v="57"/>
    <x v="7"/>
    <x v="5"/>
    <x v="5"/>
    <s v="2.7 out of 5"/>
    <x v="17"/>
    <n v="355"/>
    <s v="poor"/>
    <s v="high"/>
  </r>
  <r>
    <x v="63"/>
    <x v="59"/>
    <x v="58"/>
    <x v="15"/>
    <x v="22"/>
    <x v="22"/>
    <s v="2.9 out of 5"/>
    <x v="18"/>
    <n v="335"/>
    <s v="poor"/>
    <s v="high"/>
  </r>
  <r>
    <x v="64"/>
    <x v="11"/>
    <x v="59"/>
    <x v="24"/>
    <x v="9"/>
    <x v="9"/>
    <s v="2.2 out of 5"/>
    <x v="19"/>
    <n v="824"/>
    <s v="poor"/>
    <s v="high"/>
  </r>
  <r>
    <x v="65"/>
    <x v="60"/>
    <x v="40"/>
    <x v="32"/>
    <x v="3"/>
    <x v="3"/>
    <s v="2.3 out of 5"/>
    <x v="20"/>
    <n v="1000"/>
    <s v="poor"/>
    <s v="Medium"/>
  </r>
  <r>
    <x v="66"/>
    <x v="61"/>
    <x v="60"/>
    <x v="8"/>
    <x v="4"/>
    <x v="4"/>
    <s v="3 out of 5"/>
    <x v="14"/>
    <n v="2393"/>
    <s v="poor"/>
    <s v="high"/>
  </r>
  <r>
    <x v="67"/>
    <x v="62"/>
    <x v="61"/>
    <x v="29"/>
    <x v="23"/>
    <x v="23"/>
    <s v="2.6 out of 5"/>
    <x v="21"/>
    <n v="318"/>
    <s v="poor"/>
    <s v="high"/>
  </r>
  <r>
    <x v="68"/>
    <x v="63"/>
    <x v="62"/>
    <x v="35"/>
    <x v="4"/>
    <x v="4"/>
    <s v="3 out of 5"/>
    <x v="14"/>
    <n v="940"/>
    <s v="poor"/>
    <s v="Medium"/>
  </r>
  <r>
    <x v="69"/>
    <x v="64"/>
    <x v="63"/>
    <x v="8"/>
    <x v="9"/>
    <x v="9"/>
    <s v="2.3 out of 5"/>
    <x v="20"/>
    <n v="257"/>
    <s v="poor"/>
    <s v="high"/>
  </r>
  <r>
    <x v="70"/>
    <x v="65"/>
    <x v="64"/>
    <x v="36"/>
    <x v="4"/>
    <x v="4"/>
    <s v="3 out of 5"/>
    <x v="14"/>
    <n v="390"/>
    <s v="poor"/>
    <s v="Medium"/>
  </r>
  <r>
    <x v="71"/>
    <x v="66"/>
    <x v="59"/>
    <x v="37"/>
    <x v="9"/>
    <x v="9"/>
    <s v="2.2 out of 5"/>
    <x v="19"/>
    <n v="846"/>
    <s v="poor"/>
    <s v="high"/>
  </r>
  <r>
    <x v="72"/>
    <x v="67"/>
    <x v="65"/>
    <x v="37"/>
    <x v="3"/>
    <x v="3"/>
    <s v="2.1 out of 5"/>
    <x v="15"/>
    <n v="1418"/>
    <s v="poor"/>
    <s v="high"/>
  </r>
  <r>
    <x v="73"/>
    <x v="68"/>
    <x v="66"/>
    <x v="1"/>
    <x v="14"/>
    <x v="14"/>
    <s v="NIL"/>
    <x v="10"/>
    <n v="695"/>
    <s v="poor"/>
    <s v="high"/>
  </r>
  <r>
    <x v="74"/>
    <x v="69"/>
    <x v="67"/>
    <x v="1"/>
    <x v="14"/>
    <x v="14"/>
    <s v="NIL"/>
    <x v="10"/>
    <n v="510"/>
    <s v="poor"/>
    <s v="high"/>
  </r>
  <r>
    <x v="75"/>
    <x v="70"/>
    <x v="68"/>
    <x v="1"/>
    <x v="14"/>
    <x v="14"/>
    <s v="NIL"/>
    <x v="10"/>
    <n v="67"/>
    <s v="poor"/>
    <s v="high"/>
  </r>
  <r>
    <x v="76"/>
    <x v="71"/>
    <x v="69"/>
    <x v="37"/>
    <x v="14"/>
    <x v="14"/>
    <s v="NIL"/>
    <x v="10"/>
    <n v="220"/>
    <s v="poor"/>
    <s v="high"/>
  </r>
  <r>
    <x v="77"/>
    <x v="72"/>
    <x v="70"/>
    <x v="38"/>
    <x v="18"/>
    <x v="18"/>
    <s v="3 out of 5"/>
    <x v="14"/>
    <n v="1010"/>
    <s v="poor"/>
    <s v="Low"/>
  </r>
  <r>
    <x v="78"/>
    <x v="73"/>
    <x v="71"/>
    <x v="15"/>
    <x v="18"/>
    <x v="18"/>
    <s v="5 out of 5"/>
    <x v="8"/>
    <n v="941"/>
    <s v="Excellent"/>
    <s v="high"/>
  </r>
  <r>
    <x v="79"/>
    <x v="74"/>
    <x v="72"/>
    <x v="14"/>
    <x v="14"/>
    <x v="14"/>
    <s v="NIL"/>
    <x v="10"/>
    <n v="830"/>
    <s v="poor"/>
    <s v="high"/>
  </r>
  <r>
    <x v="80"/>
    <x v="75"/>
    <x v="46"/>
    <x v="15"/>
    <x v="14"/>
    <x v="14"/>
    <s v="NIL"/>
    <x v="10"/>
    <n v="33"/>
    <s v="poor"/>
    <s v="high"/>
  </r>
  <r>
    <x v="81"/>
    <x v="76"/>
    <x v="23"/>
    <x v="39"/>
    <x v="18"/>
    <x v="18"/>
    <s v="4 out of 5"/>
    <x v="5"/>
    <n v="317"/>
    <s v="Average"/>
    <s v="Medium"/>
  </r>
  <r>
    <x v="82"/>
    <x v="77"/>
    <x v="46"/>
    <x v="30"/>
    <x v="14"/>
    <x v="14"/>
    <s v="NIL"/>
    <x v="10"/>
    <n v="233"/>
    <s v="poor"/>
    <s v="Low"/>
  </r>
  <r>
    <x v="83"/>
    <x v="78"/>
    <x v="73"/>
    <x v="15"/>
    <x v="14"/>
    <x v="14"/>
    <s v="NIL"/>
    <x v="10"/>
    <n v="263"/>
    <s v="poor"/>
    <s v="high"/>
  </r>
  <r>
    <x v="84"/>
    <x v="10"/>
    <x v="50"/>
    <x v="11"/>
    <x v="14"/>
    <x v="14"/>
    <s v="NIL"/>
    <x v="10"/>
    <n v="101"/>
    <s v="poor"/>
    <s v="high"/>
  </r>
  <r>
    <x v="85"/>
    <x v="79"/>
    <x v="46"/>
    <x v="15"/>
    <x v="14"/>
    <x v="14"/>
    <s v="NIL"/>
    <x v="10"/>
    <n v="231"/>
    <s v="poor"/>
    <s v="high"/>
  </r>
  <r>
    <x v="86"/>
    <x v="80"/>
    <x v="74"/>
    <x v="40"/>
    <x v="14"/>
    <x v="14"/>
    <s v="NIL"/>
    <x v="10"/>
    <n v="470"/>
    <s v="poor"/>
    <s v="Low"/>
  </r>
  <r>
    <x v="87"/>
    <x v="81"/>
    <x v="75"/>
    <x v="15"/>
    <x v="14"/>
    <x v="14"/>
    <s v="NIL"/>
    <x v="10"/>
    <n v="850"/>
    <s v="poor"/>
    <s v="high"/>
  </r>
  <r>
    <x v="88"/>
    <x v="82"/>
    <x v="53"/>
    <x v="41"/>
    <x v="14"/>
    <x v="14"/>
    <s v="NIL"/>
    <x v="10"/>
    <n v="1200"/>
    <s v="poor"/>
    <s v="Low"/>
  </r>
  <r>
    <x v="89"/>
    <x v="83"/>
    <x v="76"/>
    <x v="15"/>
    <x v="14"/>
    <x v="14"/>
    <s v="NIL"/>
    <x v="10"/>
    <n v="95"/>
    <s v="poor"/>
    <s v="high"/>
  </r>
  <r>
    <x v="90"/>
    <x v="84"/>
    <x v="46"/>
    <x v="40"/>
    <x v="14"/>
    <x v="14"/>
    <s v="NIL"/>
    <x v="10"/>
    <n v="800"/>
    <s v="poor"/>
    <s v="Low"/>
  </r>
  <r>
    <x v="91"/>
    <x v="46"/>
    <x v="77"/>
    <x v="37"/>
    <x v="14"/>
    <x v="14"/>
    <s v="NIL"/>
    <x v="10"/>
    <n v="1200"/>
    <s v="poor"/>
    <s v="high"/>
  </r>
  <r>
    <x v="92"/>
    <x v="85"/>
    <x v="78"/>
    <x v="29"/>
    <x v="14"/>
    <x v="14"/>
    <s v="NIL"/>
    <x v="10"/>
    <n v="134"/>
    <s v="poor"/>
    <s v="high"/>
  </r>
  <r>
    <x v="93"/>
    <x v="86"/>
    <x v="48"/>
    <x v="25"/>
    <x v="14"/>
    <x v="14"/>
    <s v="NIL"/>
    <x v="10"/>
    <n v="37"/>
    <s v="poor"/>
    <s v="high"/>
  </r>
  <r>
    <x v="94"/>
    <x v="87"/>
    <x v="79"/>
    <x v="25"/>
    <x v="14"/>
    <x v="14"/>
    <s v="NIL"/>
    <x v="10"/>
    <n v="238"/>
    <s v="poor"/>
    <s v="high"/>
  </r>
  <r>
    <x v="95"/>
    <x v="88"/>
    <x v="16"/>
    <x v="1"/>
    <x v="14"/>
    <x v="14"/>
    <s v="NIL"/>
    <x v="10"/>
    <n v="153"/>
    <s v="poor"/>
    <s v="high"/>
  </r>
  <r>
    <x v="96"/>
    <x v="89"/>
    <x v="80"/>
    <x v="1"/>
    <x v="14"/>
    <x v="14"/>
    <s v="NIL"/>
    <x v="10"/>
    <n v="504"/>
    <s v="poor"/>
    <s v="high"/>
  </r>
  <r>
    <x v="97"/>
    <x v="90"/>
    <x v="81"/>
    <x v="29"/>
    <x v="14"/>
    <x v="14"/>
    <s v="NIL"/>
    <x v="10"/>
    <n v="794"/>
    <s v="poor"/>
    <s v="high"/>
  </r>
  <r>
    <x v="98"/>
    <x v="91"/>
    <x v="82"/>
    <x v="42"/>
    <x v="18"/>
    <x v="18"/>
    <s v="5 out of 5"/>
    <x v="8"/>
    <n v="948"/>
    <s v="Excellent"/>
    <s v="Low"/>
  </r>
  <r>
    <x v="99"/>
    <x v="92"/>
    <x v="83"/>
    <x v="30"/>
    <x v="14"/>
    <x v="14"/>
    <s v="NIL"/>
    <x v="10"/>
    <n v="1000"/>
    <s v="poor"/>
    <s v="Low"/>
  </r>
  <r>
    <x v="100"/>
    <x v="93"/>
    <x v="84"/>
    <x v="15"/>
    <x v="14"/>
    <x v="14"/>
    <s v="NIL"/>
    <x v="10"/>
    <n v="24"/>
    <s v="poor"/>
    <s v="high"/>
  </r>
  <r>
    <x v="101"/>
    <x v="94"/>
    <x v="85"/>
    <x v="38"/>
    <x v="14"/>
    <x v="14"/>
    <s v="NIL"/>
    <x v="10"/>
    <n v="62"/>
    <s v="poor"/>
    <s v="Low"/>
  </r>
  <r>
    <x v="102"/>
    <x v="95"/>
    <x v="86"/>
    <x v="15"/>
    <x v="14"/>
    <x v="14"/>
    <s v="NIL"/>
    <x v="10"/>
    <n v="587"/>
    <s v="poor"/>
    <s v="high"/>
  </r>
  <r>
    <x v="103"/>
    <x v="44"/>
    <x v="87"/>
    <x v="11"/>
    <x v="14"/>
    <x v="14"/>
    <s v="NIL"/>
    <x v="10"/>
    <n v="620"/>
    <s v="poor"/>
    <s v="high"/>
  </r>
  <r>
    <x v="104"/>
    <x v="96"/>
    <x v="46"/>
    <x v="43"/>
    <x v="14"/>
    <x v="14"/>
    <s v="NIL"/>
    <x v="10"/>
    <n v="41"/>
    <s v="poor"/>
    <s v="Medium"/>
  </r>
  <r>
    <x v="105"/>
    <x v="97"/>
    <x v="68"/>
    <x v="28"/>
    <x v="14"/>
    <x v="14"/>
    <s v="NIL"/>
    <x v="10"/>
    <n v="31"/>
    <s v="poor"/>
    <s v="high"/>
  </r>
  <r>
    <x v="106"/>
    <x v="47"/>
    <x v="88"/>
    <x v="44"/>
    <x v="14"/>
    <x v="14"/>
    <s v="NIL"/>
    <x v="10"/>
    <n v="354"/>
    <s v="poor"/>
    <s v="Low"/>
  </r>
  <r>
    <x v="107"/>
    <x v="98"/>
    <x v="50"/>
    <x v="6"/>
    <x v="18"/>
    <x v="18"/>
    <s v="2 out of 5"/>
    <x v="22"/>
    <n v="450"/>
    <s v="poor"/>
    <s v="Medium"/>
  </r>
  <r>
    <x v="108"/>
    <x v="99"/>
    <x v="89"/>
    <x v="10"/>
    <x v="14"/>
    <x v="14"/>
    <s v="NIL"/>
    <x v="10"/>
    <n v="151"/>
    <s v="poor"/>
    <s v="Medium"/>
  </r>
  <r>
    <x v="109"/>
    <x v="100"/>
    <x v="90"/>
    <x v="10"/>
    <x v="24"/>
    <x v="24"/>
    <m/>
    <x v="10"/>
    <n v="0"/>
    <s v="poor"/>
    <s v="Medium"/>
  </r>
  <r>
    <x v="109"/>
    <x v="100"/>
    <x v="90"/>
    <x v="30"/>
    <x v="24"/>
    <x v="24"/>
    <m/>
    <x v="10"/>
    <n v="0"/>
    <s v="poor"/>
    <s v="Low"/>
  </r>
  <r>
    <x v="109"/>
    <x v="100"/>
    <x v="90"/>
    <x v="30"/>
    <x v="24"/>
    <x v="24"/>
    <m/>
    <x v="10"/>
    <n v="0"/>
    <s v="poor"/>
    <s v="Low"/>
  </r>
  <r>
    <x v="109"/>
    <x v="100"/>
    <x v="90"/>
    <x v="45"/>
    <x v="24"/>
    <x v="24"/>
    <m/>
    <x v="10"/>
    <n v="0"/>
    <s v="poor"/>
    <s v="high"/>
  </r>
  <r>
    <x v="109"/>
    <x v="100"/>
    <x v="90"/>
    <x v="29"/>
    <x v="24"/>
    <x v="24"/>
    <m/>
    <x v="10"/>
    <n v="0"/>
    <s v="poor"/>
    <s v="high"/>
  </r>
  <r>
    <x v="109"/>
    <x v="100"/>
    <x v="90"/>
    <x v="1"/>
    <x v="24"/>
    <x v="24"/>
    <m/>
    <x v="10"/>
    <n v="0"/>
    <s v="poor"/>
    <s v="high"/>
  </r>
</pivotCacheRecords>
</file>

<file path=xl/pivotCache/pivotCacheRecords2.xml><?xml version="1.0" encoding="utf-8"?>
<pivotCacheRecords xmlns="http://schemas.openxmlformats.org/spreadsheetml/2006/main" xmlns:r="http://schemas.openxmlformats.org/officeDocument/2006/relationships" count="116">
  <r>
    <x v="0"/>
    <n v="2025"/>
    <n v="3971"/>
    <n v="0.49005288340468395"/>
    <n v="0.49"/>
    <n v="-3"/>
    <n v="3"/>
    <s v="5 out of 5"/>
    <n v="5"/>
    <n v="1946"/>
    <x v="0"/>
    <x v="0"/>
  </r>
  <r>
    <x v="1"/>
    <n v="171"/>
    <n v="360"/>
    <n v="0.52500000000000002"/>
    <n v="0.53"/>
    <n v="-2"/>
    <n v="2"/>
    <s v="5 out of 5"/>
    <n v="5"/>
    <n v="189"/>
    <x v="0"/>
    <x v="0"/>
  </r>
  <r>
    <x v="2"/>
    <n v="332"/>
    <n v="684"/>
    <n v="0.51461988304093564"/>
    <n v="0.51"/>
    <n v="-2"/>
    <n v="2"/>
    <s v="5 out of 5"/>
    <n v="5"/>
    <n v="352"/>
    <x v="0"/>
    <x v="0"/>
  </r>
  <r>
    <x v="3"/>
    <n v="195"/>
    <n v="360"/>
    <n v="0.45833333333333331"/>
    <n v="0.46"/>
    <n v="-2"/>
    <n v="2"/>
    <s v="5 out of 5"/>
    <n v="5"/>
    <n v="165"/>
    <x v="0"/>
    <x v="0"/>
  </r>
  <r>
    <x v="4"/>
    <n v="979"/>
    <n v="1920"/>
    <n v="0.49010416666666667"/>
    <n v="0.49"/>
    <n v="-1"/>
    <n v="1"/>
    <s v="5 out of 5"/>
    <n v="5"/>
    <n v="941"/>
    <x v="0"/>
    <x v="0"/>
  </r>
  <r>
    <x v="5"/>
    <n v="1620"/>
    <n v="2690"/>
    <n v="0.39776951672862454"/>
    <n v="0.4"/>
    <n v="-1"/>
    <n v="1"/>
    <s v="5 out of 5"/>
    <n v="5"/>
    <n v="1070"/>
    <x v="0"/>
    <x v="1"/>
  </r>
  <r>
    <x v="6"/>
    <n v="3640"/>
    <n v="4588"/>
    <n v="0.20662598081952921"/>
    <n v="0.08"/>
    <n v="-1"/>
    <n v="1"/>
    <s v="5 out of 5"/>
    <n v="5"/>
    <n v="948"/>
    <x v="0"/>
    <x v="2"/>
  </r>
  <r>
    <x v="7"/>
    <n v="552"/>
    <n v="1035"/>
    <n v="0.46666666666666667"/>
    <n v="0.47"/>
    <n v="-12"/>
    <n v="12"/>
    <s v="4.8 out of 5"/>
    <n v="4.8"/>
    <n v="483"/>
    <x v="0"/>
    <x v="0"/>
  </r>
  <r>
    <x v="8"/>
    <n v="1274"/>
    <n v="2800"/>
    <n v="0.54500000000000004"/>
    <n v="0.55000000000000004"/>
    <n v="-5"/>
    <n v="5"/>
    <s v="4.8 out of 5"/>
    <n v="4.8"/>
    <n v="1526"/>
    <x v="0"/>
    <x v="0"/>
  </r>
  <r>
    <x v="9"/>
    <n v="1740"/>
    <n v="2356"/>
    <n v="0.26146010186757218"/>
    <n v="0.26"/>
    <n v="-5"/>
    <n v="5"/>
    <s v="4.8 out of 5"/>
    <n v="4.8"/>
    <n v="616"/>
    <x v="0"/>
    <x v="1"/>
  </r>
  <r>
    <x v="10"/>
    <n v="990"/>
    <n v="1500"/>
    <n v="0.34"/>
    <n v="0.34"/>
    <n v="-39"/>
    <n v="39"/>
    <s v="4.7 out of 5"/>
    <n v="4.7"/>
    <n v="510"/>
    <x v="0"/>
    <x v="1"/>
  </r>
  <r>
    <x v="11"/>
    <n v="1940"/>
    <n v="2650"/>
    <n v="0.26792452830188679"/>
    <n v="0.27"/>
    <n v="-2"/>
    <n v="2"/>
    <s v="4.7 out of 5"/>
    <n v="4.7"/>
    <n v="710"/>
    <x v="0"/>
    <x v="1"/>
  </r>
  <r>
    <x v="12"/>
    <n v="980"/>
    <n v="1490"/>
    <n v="0.34228187919463088"/>
    <n v="0.34"/>
    <n v="-12"/>
    <n v="12"/>
    <s v="4.7 out of 5"/>
    <n v="4.7"/>
    <n v="510"/>
    <x v="0"/>
    <x v="1"/>
  </r>
  <r>
    <x v="13"/>
    <n v="1580"/>
    <n v="2499"/>
    <n v="0.36774709883953582"/>
    <n v="0.37"/>
    <n v="-7"/>
    <n v="7"/>
    <s v="4.7 out of 5"/>
    <n v="4.7"/>
    <n v="919"/>
    <x v="0"/>
    <x v="1"/>
  </r>
  <r>
    <x v="14"/>
    <n v="2319"/>
    <n v="3032"/>
    <n v="0.23515831134564644"/>
    <n v="0.24"/>
    <n v="-55"/>
    <n v="55"/>
    <s v="4.6 out of 5"/>
    <n v="4.5999999999999996"/>
    <n v="713"/>
    <x v="0"/>
    <x v="1"/>
  </r>
  <r>
    <x v="15"/>
    <n v="420"/>
    <n v="647"/>
    <n v="0.3508500772797527"/>
    <n v="0.35"/>
    <n v="-49"/>
    <n v="49"/>
    <s v="4.6 out of 5"/>
    <n v="4.5999999999999996"/>
    <n v="227"/>
    <x v="0"/>
    <x v="1"/>
  </r>
  <r>
    <x v="16"/>
    <n v="998"/>
    <n v="1966"/>
    <n v="0.49237029501525942"/>
    <n v="0.49"/>
    <n v="-44"/>
    <n v="44"/>
    <s v="4.6 out of 5"/>
    <n v="4.5999999999999996"/>
    <n v="968"/>
    <x v="0"/>
    <x v="0"/>
  </r>
  <r>
    <x v="17"/>
    <n v="2199"/>
    <n v="2923"/>
    <n v="0.24769072870338693"/>
    <n v="0.25"/>
    <n v="-24"/>
    <n v="24"/>
    <s v="4.6 out of 5"/>
    <n v="4.5999999999999996"/>
    <n v="724"/>
    <x v="0"/>
    <x v="1"/>
  </r>
  <r>
    <x v="18"/>
    <n v="2999"/>
    <n v="3699"/>
    <n v="0.18924033522573669"/>
    <n v="0.19"/>
    <n v="-5"/>
    <n v="5"/>
    <s v="4.6 out of 5"/>
    <n v="4.5999999999999996"/>
    <n v="700"/>
    <x v="0"/>
    <x v="2"/>
  </r>
  <r>
    <x v="19"/>
    <n v="1980"/>
    <n v="2699"/>
    <n v="0.26639496109670247"/>
    <n v="0.27"/>
    <n v="-32"/>
    <n v="32"/>
    <s v="4.5 out of 5"/>
    <n v="4.5"/>
    <n v="719"/>
    <x v="0"/>
    <x v="1"/>
  </r>
  <r>
    <x v="20"/>
    <n v="501"/>
    <n v="860"/>
    <n v="0.41744186046511628"/>
    <n v="0.42"/>
    <n v="-6"/>
    <n v="6"/>
    <s v="4.5 out of 5"/>
    <n v="4.5"/>
    <n v="359"/>
    <x v="0"/>
    <x v="0"/>
  </r>
  <r>
    <x v="21"/>
    <n v="1970"/>
    <n v="2000"/>
    <n v="1.4999999999999999E-2"/>
    <n v="0.38"/>
    <n v="-2"/>
    <n v="2"/>
    <s v="4.5 out of 5"/>
    <n v="4.5"/>
    <n v="30"/>
    <x v="0"/>
    <x v="1"/>
  </r>
  <r>
    <x v="22"/>
    <n v="950"/>
    <n v="1525"/>
    <n v="0.37704918032786883"/>
    <n v="0.38"/>
    <n v="-2"/>
    <n v="2"/>
    <s v="4.5 out of 5"/>
    <n v="4.5"/>
    <n v="575"/>
    <x v="0"/>
    <x v="1"/>
  </r>
  <r>
    <x v="23"/>
    <n v="1650"/>
    <n v="2150"/>
    <n v="0.23255813953488372"/>
    <n v="0.23"/>
    <n v="-14"/>
    <n v="14"/>
    <s v="4.4 out of 5"/>
    <n v="4.4000000000000004"/>
    <n v="500"/>
    <x v="1"/>
    <x v="1"/>
  </r>
  <r>
    <x v="24"/>
    <n v="389"/>
    <n v="656"/>
    <n v="0.40701219512195119"/>
    <n v="0.41"/>
    <n v="-36"/>
    <n v="36"/>
    <s v="4.3 out of 5"/>
    <n v="4.3"/>
    <n v="267"/>
    <x v="1"/>
    <x v="0"/>
  </r>
  <r>
    <x v="25"/>
    <n v="185"/>
    <n v="382"/>
    <n v="0.51570680628272247"/>
    <n v="0.52"/>
    <n v="-9"/>
    <n v="9"/>
    <s v="4.3 out of 5"/>
    <n v="4.3"/>
    <n v="197"/>
    <x v="1"/>
    <x v="0"/>
  </r>
  <r>
    <x v="26"/>
    <n v="1820"/>
    <n v="3490"/>
    <n v="0.47851002865329512"/>
    <n v="0.48"/>
    <n v="-9"/>
    <n v="9"/>
    <s v="4.3 out of 5"/>
    <n v="4.3"/>
    <n v="1670"/>
    <x v="1"/>
    <x v="0"/>
  </r>
  <r>
    <x v="27"/>
    <n v="2048"/>
    <n v="4500"/>
    <n v="0.54488888888888887"/>
    <n v="0.54"/>
    <n v="-7"/>
    <n v="7"/>
    <s v="4.3 out of 5"/>
    <n v="4.3"/>
    <n v="2452"/>
    <x v="1"/>
    <x v="0"/>
  </r>
  <r>
    <x v="28"/>
    <n v="1680"/>
    <n v="2499"/>
    <n v="0.32773109243697479"/>
    <n v="0.33"/>
    <n v="-9"/>
    <n v="9"/>
    <s v="4.2 out of 5"/>
    <n v="4.2"/>
    <n v="819"/>
    <x v="1"/>
    <x v="1"/>
  </r>
  <r>
    <x v="29"/>
    <n v="1758"/>
    <n v="2499"/>
    <n v="0.2965186074429772"/>
    <n v="0.3"/>
    <n v="-2"/>
    <n v="2"/>
    <s v="4.1 out of 5"/>
    <n v="4.0999999999999996"/>
    <n v="741"/>
    <x v="1"/>
    <x v="1"/>
  </r>
  <r>
    <x v="30"/>
    <n v="527"/>
    <n v="999"/>
    <n v="0.47247247247247248"/>
    <n v="0.47"/>
    <n v="-14"/>
    <n v="14"/>
    <s v="4.1 out of 5"/>
    <n v="4.0999999999999996"/>
    <n v="472"/>
    <x v="1"/>
    <x v="0"/>
  </r>
  <r>
    <x v="31"/>
    <n v="799"/>
    <n v="999"/>
    <n v="0.20020020020020021"/>
    <n v="0.2"/>
    <n v="-12"/>
    <n v="12"/>
    <s v="4.1 out of 5"/>
    <n v="4.0999999999999996"/>
    <n v="200"/>
    <x v="1"/>
    <x v="2"/>
  </r>
  <r>
    <x v="32"/>
    <n v="2999"/>
    <n v="3290"/>
    <n v="8.8449848024316116E-2"/>
    <n v="0.09"/>
    <n v="-15"/>
    <n v="15"/>
    <s v="4 out of 5"/>
    <n v="4"/>
    <n v="291"/>
    <x v="1"/>
    <x v="2"/>
  </r>
  <r>
    <x v="33"/>
    <n v="880"/>
    <n v="1350"/>
    <n v="0.34814814814814815"/>
    <n v="0.35"/>
    <n v="-6"/>
    <n v="6"/>
    <s v="4 out of 5"/>
    <n v="4"/>
    <n v="470"/>
    <x v="1"/>
    <x v="1"/>
  </r>
  <r>
    <x v="34"/>
    <n v="988"/>
    <n v="1580"/>
    <n v="0.37468354430379747"/>
    <n v="0.37"/>
    <n v="-2"/>
    <n v="2"/>
    <s v="4 out of 5"/>
    <n v="4"/>
    <n v="592"/>
    <x v="1"/>
    <x v="1"/>
  </r>
  <r>
    <x v="35"/>
    <n v="330"/>
    <n v="647"/>
    <n v="0.48995363214837712"/>
    <n v="0.36"/>
    <n v="-1"/>
    <n v="1"/>
    <s v="4 out of 5"/>
    <n v="4"/>
    <n v="317"/>
    <x v="1"/>
    <x v="1"/>
  </r>
  <r>
    <x v="36"/>
    <n v="1350"/>
    <n v="1990"/>
    <n v="0.32160804020100503"/>
    <n v="0.32"/>
    <n v="-13"/>
    <n v="13"/>
    <s v="3.8 out of 5"/>
    <n v="3.8"/>
    <n v="640"/>
    <x v="1"/>
    <x v="1"/>
  </r>
  <r>
    <x v="37"/>
    <n v="2880"/>
    <n v="3520"/>
    <n v="0.18181818181818182"/>
    <n v="0.18"/>
    <n v="-12"/>
    <n v="12"/>
    <s v="3.8 out of 5"/>
    <n v="3.8"/>
    <n v="640"/>
    <x v="1"/>
    <x v="2"/>
  </r>
  <r>
    <x v="38"/>
    <n v="1600"/>
    <n v="2929"/>
    <n v="0.45373847729600547"/>
    <n v="0.45"/>
    <n v="-5"/>
    <n v="5"/>
    <s v="3.8 out of 5"/>
    <n v="3.8"/>
    <n v="1329"/>
    <x v="1"/>
    <x v="0"/>
  </r>
  <r>
    <x v="39"/>
    <n v="38"/>
    <n v="80"/>
    <n v="0.52500000000000002"/>
    <n v="0.53"/>
    <n v="-13"/>
    <n v="13"/>
    <s v="3.3 out of 5"/>
    <n v="3.3"/>
    <n v="42"/>
    <x v="1"/>
    <x v="0"/>
  </r>
  <r>
    <x v="40"/>
    <n v="458"/>
    <n v="986"/>
    <n v="0.53549695740365111"/>
    <n v="0.55000000000000004"/>
    <n v="-1"/>
    <n v="1"/>
    <s v="3 out of 5"/>
    <n v="3"/>
    <n v="528"/>
    <x v="2"/>
    <x v="0"/>
  </r>
  <r>
    <x v="41"/>
    <n v="3750"/>
    <n v="6143"/>
    <n v="0.38954908025394758"/>
    <n v="0.45"/>
    <n v="-5"/>
    <n v="5"/>
    <s v="3 out of 5"/>
    <n v="3"/>
    <n v="2393"/>
    <x v="2"/>
    <x v="0"/>
  </r>
  <r>
    <x v="42"/>
    <n v="2300"/>
    <n v="3240"/>
    <n v="0.29012345679012347"/>
    <n v="0.39"/>
    <n v="-5"/>
    <n v="5"/>
    <s v="3 out of 5"/>
    <n v="3"/>
    <n v="940"/>
    <x v="2"/>
    <x v="1"/>
  </r>
  <r>
    <x v="43"/>
    <n v="509"/>
    <n v="899"/>
    <n v="0.43381535038932145"/>
    <n v="0.28999999999999998"/>
    <n v="-5"/>
    <n v="5"/>
    <s v="3 out of 5"/>
    <n v="3"/>
    <n v="390"/>
    <x v="2"/>
    <x v="1"/>
  </r>
  <r>
    <x v="44"/>
    <n v="1189"/>
    <n v="2199"/>
    <n v="0.45929968167348795"/>
    <n v="0.04"/>
    <n v="-1"/>
    <n v="1"/>
    <s v="3 out of 5"/>
    <n v="3"/>
    <n v="1010"/>
    <x v="2"/>
    <x v="2"/>
  </r>
  <r>
    <x v="45"/>
    <n v="1220"/>
    <n v="1555"/>
    <n v="0.21543408360128619"/>
    <n v="0.49"/>
    <n v="-16"/>
    <n v="16"/>
    <s v="2.9 out of 5"/>
    <n v="2.9"/>
    <n v="335"/>
    <x v="2"/>
    <x v="0"/>
  </r>
  <r>
    <x v="46"/>
    <n v="445"/>
    <n v="873"/>
    <n v="0.49026345933562426"/>
    <n v="0.54"/>
    <n v="-69"/>
    <n v="69"/>
    <s v="2.8 out of 5"/>
    <n v="2.8"/>
    <n v="428"/>
    <x v="2"/>
    <x v="0"/>
  </r>
  <r>
    <x v="47"/>
    <n v="325"/>
    <n v="680"/>
    <n v="0.5220588235294118"/>
    <n v="0.55000000000000004"/>
    <n v="-15"/>
    <n v="15"/>
    <s v="2.7 out of 5"/>
    <n v="2.7"/>
    <n v="355"/>
    <x v="2"/>
    <x v="0"/>
  </r>
  <r>
    <x v="48"/>
    <n v="382"/>
    <n v="700"/>
    <n v="0.45428571428571429"/>
    <n v="0.5"/>
    <n v="-17"/>
    <n v="17"/>
    <s v="2.6 out of 5"/>
    <n v="2.6"/>
    <n v="318"/>
    <x v="2"/>
    <x v="0"/>
  </r>
  <r>
    <x v="49"/>
    <n v="2170"/>
    <n v="2500"/>
    <n v="0.13200000000000001"/>
    <n v="0.27"/>
    <n v="-6"/>
    <n v="6"/>
    <s v="2.5 out of 5"/>
    <n v="2.5"/>
    <n v="330"/>
    <x v="2"/>
    <x v="1"/>
  </r>
  <r>
    <x v="50"/>
    <n v="1000"/>
    <n v="2000"/>
    <n v="0.5"/>
    <n v="0.22"/>
    <n v="-7"/>
    <n v="7"/>
    <s v="2.3 out of 5"/>
    <n v="2.2999999999999998"/>
    <n v="1000"/>
    <x v="2"/>
    <x v="1"/>
  </r>
  <r>
    <x v="51"/>
    <n v="345"/>
    <n v="602"/>
    <n v="0.42691029900332228"/>
    <n v="0.45"/>
    <n v="-6"/>
    <n v="6"/>
    <s v="2.3 out of 5"/>
    <n v="2.2999999999999998"/>
    <n v="257"/>
    <x v="2"/>
    <x v="0"/>
  </r>
  <r>
    <x v="52"/>
    <n v="990"/>
    <n v="1814"/>
    <n v="0.45424476295479604"/>
    <n v="0.52"/>
    <n v="-6"/>
    <n v="6"/>
    <s v="2.2 out of 5"/>
    <n v="2.2000000000000002"/>
    <n v="824"/>
    <x v="2"/>
    <x v="0"/>
  </r>
  <r>
    <x v="53"/>
    <n v="968"/>
    <n v="1814"/>
    <n v="0.46637265711135611"/>
    <n v="0.43"/>
    <n v="-6"/>
    <n v="6"/>
    <s v="2.2 out of 5"/>
    <n v="2.2000000000000002"/>
    <n v="846"/>
    <x v="2"/>
    <x v="0"/>
  </r>
  <r>
    <x v="54"/>
    <n v="2115"/>
    <n v="4700"/>
    <n v="0.55000000000000004"/>
    <n v="0.13"/>
    <n v="-13"/>
    <n v="13"/>
    <s v="2.1 out of 5"/>
    <n v="2.1"/>
    <n v="2585"/>
    <x v="2"/>
    <x v="2"/>
  </r>
  <r>
    <x v="55"/>
    <n v="1570"/>
    <n v="2988"/>
    <n v="0.4745649263721553"/>
    <n v="0.43"/>
    <n v="-7"/>
    <n v="7"/>
    <s v="2.1 out of 5"/>
    <n v="2.1"/>
    <n v="1418"/>
    <x v="2"/>
    <x v="0"/>
  </r>
  <r>
    <x v="56"/>
    <n v="450"/>
    <n v="900"/>
    <n v="0.5"/>
    <n v="0.24"/>
    <n v="-1"/>
    <n v="1"/>
    <s v="2 out of 5"/>
    <n v="2"/>
    <n v="450"/>
    <x v="2"/>
    <x v="1"/>
  </r>
  <r>
    <x v="57"/>
    <n v="299"/>
    <n v="600"/>
    <n v="0.50166666666666671"/>
    <n v="0.61"/>
    <m/>
    <n v="0"/>
    <n v="0"/>
    <n v="0"/>
    <n v="301"/>
    <x v="2"/>
    <x v="0"/>
  </r>
  <r>
    <x v="58"/>
    <n v="1660"/>
    <n v="1699"/>
    <n v="2.2954679223072396E-2"/>
    <n v="0.5"/>
    <m/>
    <n v="0"/>
    <n v="0"/>
    <n v="0"/>
    <n v="39"/>
    <x v="2"/>
    <x v="0"/>
  </r>
  <r>
    <x v="59"/>
    <n v="1526"/>
    <n v="1660"/>
    <n v="8.0722891566265054E-2"/>
    <n v="0.5"/>
    <m/>
    <n v="0"/>
    <n v="0"/>
    <n v="0"/>
    <n v="134"/>
    <x v="2"/>
    <x v="0"/>
  </r>
  <r>
    <x v="60"/>
    <n v="1190"/>
    <n v="1785"/>
    <n v="0.33333333333333331"/>
    <n v="0.5"/>
    <m/>
    <n v="0"/>
    <n v="0"/>
    <n v="0"/>
    <n v="595"/>
    <x v="2"/>
    <x v="0"/>
  </r>
  <r>
    <x v="61"/>
    <n v="1080"/>
    <n v="1874"/>
    <n v="0.42369263607257202"/>
    <n v="0.5"/>
    <m/>
    <n v="0"/>
    <n v="0"/>
    <n v="0"/>
    <n v="794"/>
    <x v="2"/>
    <x v="0"/>
  </r>
  <r>
    <x v="62"/>
    <n v="238"/>
    <n v="476"/>
    <n v="0.5"/>
    <n v="0.5"/>
    <m/>
    <n v="0"/>
    <n v="0"/>
    <n v="0"/>
    <n v="238"/>
    <x v="2"/>
    <x v="0"/>
  </r>
  <r>
    <x v="63"/>
    <n v="2799"/>
    <n v="3810"/>
    <n v="0.26535433070866143"/>
    <n v="0.49"/>
    <m/>
    <n v="0"/>
    <n v="0"/>
    <n v="0"/>
    <n v="1011"/>
    <x v="2"/>
    <x v="0"/>
  </r>
  <r>
    <x v="64"/>
    <n v="1875"/>
    <n v="1899"/>
    <n v="1.2638230647709321E-2"/>
    <n v="0.49"/>
    <m/>
    <n v="0"/>
    <n v="0"/>
    <n v="0"/>
    <n v="24"/>
    <x v="2"/>
    <x v="0"/>
  </r>
  <r>
    <x v="65"/>
    <n v="1666"/>
    <n v="1699"/>
    <n v="1.9423190111830489E-2"/>
    <n v="0.49"/>
    <m/>
    <n v="0"/>
    <n v="0"/>
    <n v="0"/>
    <n v="33"/>
    <x v="2"/>
    <x v="0"/>
  </r>
  <r>
    <x v="66"/>
    <n v="1468"/>
    <n v="1699"/>
    <n v="0.13596233078281342"/>
    <n v="0.49"/>
    <m/>
    <n v="0"/>
    <n v="0"/>
    <n v="0"/>
    <n v="231"/>
    <x v="2"/>
    <x v="0"/>
  </r>
  <r>
    <x v="67"/>
    <n v="1200"/>
    <n v="1950"/>
    <n v="0.38461538461538464"/>
    <n v="0.49"/>
    <m/>
    <n v="0"/>
    <n v="0"/>
    <n v="0"/>
    <n v="750"/>
    <x v="2"/>
    <x v="0"/>
  </r>
  <r>
    <x v="68"/>
    <n v="1150"/>
    <n v="1737"/>
    <n v="0.3379389752446747"/>
    <n v="0.49"/>
    <m/>
    <n v="0"/>
    <n v="0"/>
    <n v="0"/>
    <n v="587"/>
    <x v="2"/>
    <x v="0"/>
  </r>
  <r>
    <x v="69"/>
    <n v="850"/>
    <n v="1700"/>
    <n v="0.5"/>
    <n v="0.49"/>
    <m/>
    <n v="0"/>
    <n v="0"/>
    <n v="0"/>
    <n v="850"/>
    <x v="2"/>
    <x v="0"/>
  </r>
  <r>
    <x v="70"/>
    <n v="475"/>
    <n v="931"/>
    <n v="0.48979591836734693"/>
    <n v="0.49"/>
    <m/>
    <n v="0"/>
    <n v="0"/>
    <n v="0"/>
    <n v="456"/>
    <x v="2"/>
    <x v="0"/>
  </r>
  <r>
    <x v="71"/>
    <n v="274"/>
    <n v="537"/>
    <n v="0.48975791433891991"/>
    <n v="0.49"/>
    <m/>
    <n v="0"/>
    <n v="0"/>
    <n v="0"/>
    <n v="263"/>
    <x v="2"/>
    <x v="0"/>
  </r>
  <r>
    <x v="72"/>
    <n v="105"/>
    <n v="200"/>
    <n v="0.47499999999999998"/>
    <n v="0.49"/>
    <m/>
    <n v="0"/>
    <n v="0"/>
    <n v="0"/>
    <n v="95"/>
    <x v="2"/>
    <x v="0"/>
  </r>
  <r>
    <x v="73"/>
    <n v="1462"/>
    <n v="1499"/>
    <n v="2.4683122081387593E-2"/>
    <n v="0.48"/>
    <m/>
    <n v="0"/>
    <n v="0"/>
    <n v="0"/>
    <n v="37"/>
    <x v="2"/>
    <x v="0"/>
  </r>
  <r>
    <x v="74"/>
    <n v="799"/>
    <n v="1567"/>
    <n v="0.49010848755583919"/>
    <n v="0.48"/>
    <m/>
    <n v="0"/>
    <n v="0"/>
    <n v="0"/>
    <n v="768"/>
    <x v="2"/>
    <x v="0"/>
  </r>
  <r>
    <x v="75"/>
    <n v="248"/>
    <n v="486"/>
    <n v="0.48971193415637859"/>
    <n v="0.48"/>
    <m/>
    <n v="0"/>
    <n v="0"/>
    <n v="0"/>
    <n v="238"/>
    <x v="2"/>
    <x v="0"/>
  </r>
  <r>
    <x v="76"/>
    <n v="3546"/>
    <n v="3699"/>
    <n v="4.1362530413625302E-2"/>
    <n v="0.47"/>
    <m/>
    <n v="0"/>
    <n v="0"/>
    <n v="0"/>
    <n v="153"/>
    <x v="2"/>
    <x v="0"/>
  </r>
  <r>
    <x v="77"/>
    <n v="1732"/>
    <n v="1799"/>
    <n v="3.7242912729294052E-2"/>
    <n v="0.47"/>
    <m/>
    <n v="0"/>
    <n v="0"/>
    <n v="0"/>
    <n v="67"/>
    <x v="2"/>
    <x v="0"/>
  </r>
  <r>
    <x v="78"/>
    <n v="790"/>
    <n v="1485"/>
    <n v="0.46801346801346799"/>
    <n v="0.47"/>
    <m/>
    <n v="0"/>
    <n v="0"/>
    <n v="0"/>
    <n v="695"/>
    <x v="2"/>
    <x v="0"/>
  </r>
  <r>
    <x v="79"/>
    <n v="690"/>
    <n v="1200"/>
    <n v="0.42499999999999999"/>
    <n v="0.47"/>
    <m/>
    <n v="0"/>
    <n v="0"/>
    <n v="0"/>
    <n v="510"/>
    <x v="2"/>
    <x v="0"/>
  </r>
  <r>
    <x v="80"/>
    <n v="525"/>
    <n v="1029"/>
    <n v="0.48979591836734693"/>
    <n v="0.47"/>
    <m/>
    <n v="0"/>
    <n v="0"/>
    <n v="0"/>
    <n v="504"/>
    <x v="2"/>
    <x v="0"/>
  </r>
  <r>
    <x v="81"/>
    <n v="2200"/>
    <n v="4080"/>
    <n v="0.46078431372549017"/>
    <n v="0.46"/>
    <m/>
    <n v="0"/>
    <n v="0"/>
    <n v="0"/>
    <n v="1880"/>
    <x v="2"/>
    <x v="0"/>
  </r>
  <r>
    <x v="82"/>
    <n v="1460"/>
    <n v="2290"/>
    <n v="0.36244541484716158"/>
    <n v="0.46"/>
    <m/>
    <n v="0"/>
    <n v="0"/>
    <n v="0"/>
    <n v="830"/>
    <x v="2"/>
    <x v="0"/>
  </r>
  <r>
    <x v="83"/>
    <n v="699"/>
    <n v="1343"/>
    <n v="0.47952345495160087"/>
    <n v="0.45"/>
    <m/>
    <n v="0"/>
    <n v="0"/>
    <n v="0"/>
    <n v="644"/>
    <x v="2"/>
    <x v="0"/>
  </r>
  <r>
    <x v="84"/>
    <n v="1200"/>
    <n v="2400"/>
    <n v="0.5"/>
    <n v="0.43"/>
    <m/>
    <n v="0"/>
    <n v="0"/>
    <n v="0"/>
    <n v="1200"/>
    <x v="2"/>
    <x v="0"/>
  </r>
  <r>
    <x v="85"/>
    <n v="230"/>
    <n v="450"/>
    <n v="0.48888888888888887"/>
    <n v="0.43"/>
    <m/>
    <n v="0"/>
    <n v="0"/>
    <n v="0"/>
    <n v="220"/>
    <x v="2"/>
    <x v="0"/>
  </r>
  <r>
    <x v="86"/>
    <n v="2132"/>
    <n v="2169"/>
    <n v="1.705855232826187E-2"/>
    <n v="0.42"/>
    <m/>
    <n v="0"/>
    <n v="0"/>
    <n v="0"/>
    <n v="37"/>
    <x v="2"/>
    <x v="0"/>
  </r>
  <r>
    <x v="87"/>
    <n v="1860"/>
    <n v="3220"/>
    <n v="0.42236024844720499"/>
    <n v="0.42"/>
    <m/>
    <n v="0"/>
    <n v="0"/>
    <n v="0"/>
    <n v="1360"/>
    <x v="2"/>
    <x v="0"/>
  </r>
  <r>
    <x v="88"/>
    <n v="1190"/>
    <n v="1810"/>
    <n v="0.34254143646408841"/>
    <n v="0.42"/>
    <m/>
    <n v="0"/>
    <n v="0"/>
    <n v="0"/>
    <n v="620"/>
    <x v="2"/>
    <x v="0"/>
  </r>
  <r>
    <x v="89"/>
    <n v="799"/>
    <n v="900"/>
    <n v="0.11222222222222222"/>
    <n v="0.42"/>
    <m/>
    <n v="0"/>
    <n v="0"/>
    <n v="0"/>
    <n v="101"/>
    <x v="2"/>
    <x v="0"/>
  </r>
  <r>
    <x v="90"/>
    <n v="610"/>
    <n v="1060"/>
    <n v="0.42452830188679247"/>
    <n v="0.42"/>
    <m/>
    <n v="0"/>
    <n v="0"/>
    <n v="0"/>
    <n v="450"/>
    <x v="2"/>
    <x v="0"/>
  </r>
  <r>
    <x v="91"/>
    <n v="1768"/>
    <n v="1799"/>
    <n v="1.7231795441912175E-2"/>
    <n v="0.41"/>
    <m/>
    <n v="0"/>
    <n v="0"/>
    <n v="0"/>
    <n v="31"/>
    <x v="2"/>
    <x v="0"/>
  </r>
  <r>
    <x v="92"/>
    <n v="499"/>
    <n v="900"/>
    <n v="0.44555555555555554"/>
    <n v="0.41"/>
    <m/>
    <n v="0"/>
    <n v="0"/>
    <n v="0"/>
    <n v="401"/>
    <x v="2"/>
    <x v="0"/>
  </r>
  <r>
    <x v="93"/>
    <n v="2750"/>
    <n v="4471"/>
    <n v="0.38492507269067322"/>
    <n v="0.38"/>
    <m/>
    <n v="0"/>
    <n v="0"/>
    <n v="0"/>
    <n v="1721"/>
    <x v="2"/>
    <x v="1"/>
  </r>
  <r>
    <x v="94"/>
    <n v="199"/>
    <n v="504"/>
    <n v="0.60515873015873012"/>
    <n v="0.38"/>
    <m/>
    <n v="0"/>
    <n v="0"/>
    <n v="0"/>
    <n v="305"/>
    <x v="2"/>
    <x v="1"/>
  </r>
  <r>
    <x v="95"/>
    <n v="169"/>
    <n v="320"/>
    <n v="0.47187499999999999"/>
    <n v="0.34"/>
    <m/>
    <n v="0"/>
    <n v="0"/>
    <n v="0"/>
    <n v="151"/>
    <x v="2"/>
    <x v="1"/>
  </r>
  <r>
    <x v="96"/>
    <n v="671"/>
    <n v="1316"/>
    <n v="0.49012158054711247"/>
    <n v="0.33"/>
    <m/>
    <n v="0"/>
    <n v="0"/>
    <n v="0"/>
    <n v="645"/>
    <x v="2"/>
    <x v="1"/>
  </r>
  <r>
    <x v="97"/>
    <n v="1459"/>
    <n v="1499"/>
    <n v="2.6684456304202801E-2"/>
    <n v="0.22"/>
    <m/>
    <n v="0"/>
    <n v="0"/>
    <n v="0"/>
    <n v="40"/>
    <x v="2"/>
    <x v="1"/>
  </r>
  <r>
    <x v="98"/>
    <n v="1658"/>
    <n v="1699"/>
    <n v="2.4131842260153032E-2"/>
    <n v="0.21"/>
    <m/>
    <n v="0"/>
    <n v="0"/>
    <n v="0"/>
    <n v="41"/>
    <x v="2"/>
    <x v="1"/>
  </r>
  <r>
    <x v="99"/>
    <n v="899"/>
    <n v="1699"/>
    <n v="0.47086521483225424"/>
    <n v="0.14000000000000001"/>
    <m/>
    <n v="0"/>
    <n v="0"/>
    <n v="0"/>
    <n v="800"/>
    <x v="2"/>
    <x v="2"/>
  </r>
  <r>
    <x v="100"/>
    <n v="630"/>
    <n v="1100"/>
    <n v="0.42727272727272725"/>
    <n v="0.14000000000000001"/>
    <m/>
    <n v="0"/>
    <n v="0"/>
    <n v="0"/>
    <n v="470"/>
    <x v="2"/>
    <x v="2"/>
  </r>
  <r>
    <x v="101"/>
    <n v="1300"/>
    <n v="2500"/>
    <n v="0.48"/>
    <n v="0.11"/>
    <m/>
    <n v="0"/>
    <n v="0"/>
    <n v="0"/>
    <n v="1200"/>
    <x v="2"/>
    <x v="2"/>
  </r>
  <r>
    <x v="102"/>
    <n v="198"/>
    <n v="260"/>
    <n v="0.23846153846153847"/>
    <n v="0.04"/>
    <m/>
    <n v="0"/>
    <n v="0"/>
    <n v="0"/>
    <n v="62"/>
    <x v="2"/>
    <x v="2"/>
  </r>
  <r>
    <x v="103"/>
    <n v="799"/>
    <n v="1343"/>
    <n v="0.4050632911392405"/>
    <n v="0.03"/>
    <m/>
    <n v="0"/>
    <n v="0"/>
    <n v="0"/>
    <n v="544"/>
    <x v="2"/>
    <x v="2"/>
  </r>
  <r>
    <x v="104"/>
    <n v="1466"/>
    <n v="1699"/>
    <n v="0.13713949381989404"/>
    <n v="0.02"/>
    <m/>
    <n v="0"/>
    <n v="0"/>
    <n v="0"/>
    <n v="233"/>
    <x v="2"/>
    <x v="2"/>
  </r>
  <r>
    <x v="105"/>
    <n v="1420"/>
    <n v="2420"/>
    <n v="0.41322314049586778"/>
    <n v="0.02"/>
    <m/>
    <n v="0"/>
    <n v="0"/>
    <n v="0"/>
    <n v="1000"/>
    <x v="2"/>
    <x v="2"/>
  </r>
  <r>
    <x v="106"/>
    <n v="999"/>
    <n v="2000"/>
    <n v="0.50049999999999994"/>
    <n v="0.02"/>
    <m/>
    <n v="0"/>
    <n v="0"/>
    <n v="0"/>
    <n v="1001"/>
    <x v="2"/>
    <x v="2"/>
  </r>
  <r>
    <x v="107"/>
    <n v="299"/>
    <n v="384"/>
    <n v="0.22135416666666666"/>
    <n v="0.02"/>
    <m/>
    <n v="0"/>
    <n v="0"/>
    <n v="0"/>
    <n v="85"/>
    <x v="2"/>
    <x v="2"/>
  </r>
  <r>
    <x v="108"/>
    <n v="199"/>
    <n v="553"/>
    <n v="0.64014466546112114"/>
    <n v="0.01"/>
    <m/>
    <n v="0"/>
    <n v="0"/>
    <n v="0"/>
    <n v="354"/>
    <x v="2"/>
    <x v="2"/>
  </r>
  <r>
    <x v="109"/>
    <m/>
    <m/>
    <e v="#DIV/0!"/>
    <n v="0.64"/>
    <m/>
    <n v="0"/>
    <m/>
    <n v="0"/>
    <n v="0"/>
    <x v="2"/>
    <x v="0"/>
  </r>
  <r>
    <x v="109"/>
    <m/>
    <m/>
    <e v="#DIV/0!"/>
    <n v="0.5"/>
    <m/>
    <n v="0"/>
    <m/>
    <n v="0"/>
    <n v="0"/>
    <x v="2"/>
    <x v="0"/>
  </r>
  <r>
    <x v="109"/>
    <m/>
    <m/>
    <e v="#DIV/0!"/>
    <n v="0.47"/>
    <m/>
    <n v="0"/>
    <m/>
    <n v="0"/>
    <n v="0"/>
    <x v="2"/>
    <x v="0"/>
  </r>
  <r>
    <x v="109"/>
    <m/>
    <m/>
    <e v="#DIV/0!"/>
    <n v="0.34"/>
    <m/>
    <n v="0"/>
    <m/>
    <n v="0"/>
    <n v="0"/>
    <x v="2"/>
    <x v="1"/>
  </r>
  <r>
    <x v="109"/>
    <m/>
    <m/>
    <e v="#DIV/0!"/>
    <n v="0.02"/>
    <m/>
    <n v="0"/>
    <m/>
    <n v="0"/>
    <n v="0"/>
    <x v="2"/>
    <x v="2"/>
  </r>
  <r>
    <x v="109"/>
    <m/>
    <m/>
    <e v="#DIV/0!"/>
    <n v="0.02"/>
    <m/>
    <n v="0"/>
    <m/>
    <n v="0"/>
    <n v="0"/>
    <x v="2"/>
    <x v="2"/>
  </r>
  <r>
    <x v="109"/>
    <m/>
    <m/>
    <m/>
    <m/>
    <n v="-11.894736842105264"/>
    <m/>
    <m/>
    <m/>
    <m/>
    <x v="3"/>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n v="2025"/>
    <n v="3971"/>
    <n v="0.49005288340468395"/>
    <x v="0"/>
    <n v="-3"/>
    <n v="3"/>
    <x v="0"/>
    <n v="5"/>
    <n v="1946"/>
    <x v="0"/>
    <x v="0"/>
  </r>
  <r>
    <x v="1"/>
    <n v="171"/>
    <n v="360"/>
    <n v="0.52500000000000002"/>
    <x v="1"/>
    <n v="-2"/>
    <n v="2"/>
    <x v="0"/>
    <n v="5"/>
    <n v="189"/>
    <x v="0"/>
    <x v="0"/>
  </r>
  <r>
    <x v="2"/>
    <n v="332"/>
    <n v="684"/>
    <n v="0.51461988304093564"/>
    <x v="2"/>
    <n v="-2"/>
    <n v="2"/>
    <x v="0"/>
    <n v="5"/>
    <n v="352"/>
    <x v="0"/>
    <x v="0"/>
  </r>
  <r>
    <x v="3"/>
    <n v="195"/>
    <n v="360"/>
    <n v="0.45833333333333331"/>
    <x v="3"/>
    <n v="-2"/>
    <n v="2"/>
    <x v="0"/>
    <n v="5"/>
    <n v="165"/>
    <x v="0"/>
    <x v="0"/>
  </r>
  <r>
    <x v="4"/>
    <n v="979"/>
    <n v="1920"/>
    <n v="0.49010416666666667"/>
    <x v="0"/>
    <n v="-1"/>
    <n v="1"/>
    <x v="0"/>
    <n v="5"/>
    <n v="941"/>
    <x v="0"/>
    <x v="0"/>
  </r>
  <r>
    <x v="5"/>
    <n v="1620"/>
    <n v="2690"/>
    <n v="0.39776951672862454"/>
    <x v="4"/>
    <n v="-1"/>
    <n v="1"/>
    <x v="0"/>
    <n v="5"/>
    <n v="1070"/>
    <x v="0"/>
    <x v="1"/>
  </r>
  <r>
    <x v="6"/>
    <n v="3640"/>
    <n v="4588"/>
    <n v="0.20662598081952921"/>
    <x v="5"/>
    <n v="-1"/>
    <n v="1"/>
    <x v="0"/>
    <n v="5"/>
    <n v="948"/>
    <x v="0"/>
    <x v="2"/>
  </r>
  <r>
    <x v="7"/>
    <n v="552"/>
    <n v="1035"/>
    <n v="0.46666666666666667"/>
    <x v="6"/>
    <n v="-12"/>
    <n v="12"/>
    <x v="1"/>
    <n v="4.8"/>
    <n v="483"/>
    <x v="0"/>
    <x v="0"/>
  </r>
  <r>
    <x v="8"/>
    <n v="1274"/>
    <n v="2800"/>
    <n v="0.54500000000000004"/>
    <x v="7"/>
    <n v="-5"/>
    <n v="5"/>
    <x v="1"/>
    <n v="4.8"/>
    <n v="1526"/>
    <x v="0"/>
    <x v="0"/>
  </r>
  <r>
    <x v="9"/>
    <n v="1740"/>
    <n v="2356"/>
    <n v="0.26146010186757218"/>
    <x v="8"/>
    <n v="-5"/>
    <n v="5"/>
    <x v="1"/>
    <n v="4.8"/>
    <n v="616"/>
    <x v="0"/>
    <x v="1"/>
  </r>
  <r>
    <x v="10"/>
    <n v="990"/>
    <n v="1500"/>
    <n v="0.34"/>
    <x v="9"/>
    <n v="-39"/>
    <n v="39"/>
    <x v="2"/>
    <n v="4.7"/>
    <n v="510"/>
    <x v="0"/>
    <x v="1"/>
  </r>
  <r>
    <x v="11"/>
    <n v="1940"/>
    <n v="2650"/>
    <n v="0.26792452830188679"/>
    <x v="10"/>
    <n v="-2"/>
    <n v="2"/>
    <x v="2"/>
    <n v="4.7"/>
    <n v="710"/>
    <x v="0"/>
    <x v="1"/>
  </r>
  <r>
    <x v="12"/>
    <n v="980"/>
    <n v="1490"/>
    <n v="0.34228187919463088"/>
    <x v="9"/>
    <n v="-12"/>
    <n v="12"/>
    <x v="2"/>
    <n v="4.7"/>
    <n v="510"/>
    <x v="0"/>
    <x v="1"/>
  </r>
  <r>
    <x v="13"/>
    <n v="1580"/>
    <n v="2499"/>
    <n v="0.36774709883953582"/>
    <x v="11"/>
    <n v="-7"/>
    <n v="7"/>
    <x v="2"/>
    <n v="4.7"/>
    <n v="919"/>
    <x v="0"/>
    <x v="1"/>
  </r>
  <r>
    <x v="14"/>
    <n v="2319"/>
    <n v="3032"/>
    <n v="0.23515831134564644"/>
    <x v="12"/>
    <n v="-55"/>
    <n v="55"/>
    <x v="3"/>
    <n v="4.5999999999999996"/>
    <n v="713"/>
    <x v="0"/>
    <x v="1"/>
  </r>
  <r>
    <x v="15"/>
    <n v="420"/>
    <n v="647"/>
    <n v="0.3508500772797527"/>
    <x v="13"/>
    <n v="-49"/>
    <n v="49"/>
    <x v="3"/>
    <n v="4.5999999999999996"/>
    <n v="227"/>
    <x v="0"/>
    <x v="1"/>
  </r>
  <r>
    <x v="16"/>
    <n v="998"/>
    <n v="1966"/>
    <n v="0.49237029501525942"/>
    <x v="0"/>
    <n v="-44"/>
    <n v="44"/>
    <x v="3"/>
    <n v="4.5999999999999996"/>
    <n v="968"/>
    <x v="0"/>
    <x v="0"/>
  </r>
  <r>
    <x v="17"/>
    <n v="2199"/>
    <n v="2923"/>
    <n v="0.24769072870338693"/>
    <x v="14"/>
    <n v="-24"/>
    <n v="24"/>
    <x v="3"/>
    <n v="4.5999999999999996"/>
    <n v="724"/>
    <x v="0"/>
    <x v="1"/>
  </r>
  <r>
    <x v="18"/>
    <n v="2999"/>
    <n v="3699"/>
    <n v="0.18924033522573669"/>
    <x v="15"/>
    <n v="-5"/>
    <n v="5"/>
    <x v="3"/>
    <n v="4.5999999999999996"/>
    <n v="700"/>
    <x v="0"/>
    <x v="2"/>
  </r>
  <r>
    <x v="19"/>
    <n v="1980"/>
    <n v="2699"/>
    <n v="0.26639496109670247"/>
    <x v="10"/>
    <n v="-32"/>
    <n v="32"/>
    <x v="4"/>
    <n v="4.5"/>
    <n v="719"/>
    <x v="0"/>
    <x v="1"/>
  </r>
  <r>
    <x v="20"/>
    <n v="501"/>
    <n v="860"/>
    <n v="0.41744186046511628"/>
    <x v="16"/>
    <n v="-6"/>
    <n v="6"/>
    <x v="4"/>
    <n v="4.5"/>
    <n v="359"/>
    <x v="0"/>
    <x v="0"/>
  </r>
  <r>
    <x v="21"/>
    <n v="1970"/>
    <n v="2000"/>
    <n v="1.4999999999999999E-2"/>
    <x v="17"/>
    <n v="-2"/>
    <n v="2"/>
    <x v="4"/>
    <n v="4.5"/>
    <n v="30"/>
    <x v="0"/>
    <x v="1"/>
  </r>
  <r>
    <x v="22"/>
    <n v="950"/>
    <n v="1525"/>
    <n v="0.37704918032786883"/>
    <x v="17"/>
    <n v="-2"/>
    <n v="2"/>
    <x v="4"/>
    <n v="4.5"/>
    <n v="575"/>
    <x v="0"/>
    <x v="1"/>
  </r>
  <r>
    <x v="23"/>
    <n v="1650"/>
    <n v="2150"/>
    <n v="0.23255813953488372"/>
    <x v="18"/>
    <n v="-14"/>
    <n v="14"/>
    <x v="5"/>
    <n v="4.4000000000000004"/>
    <n v="500"/>
    <x v="1"/>
    <x v="1"/>
  </r>
  <r>
    <x v="24"/>
    <n v="389"/>
    <n v="656"/>
    <n v="0.40701219512195119"/>
    <x v="19"/>
    <n v="-36"/>
    <n v="36"/>
    <x v="6"/>
    <n v="4.3"/>
    <n v="267"/>
    <x v="1"/>
    <x v="0"/>
  </r>
  <r>
    <x v="25"/>
    <n v="185"/>
    <n v="382"/>
    <n v="0.51570680628272247"/>
    <x v="20"/>
    <n v="-9"/>
    <n v="9"/>
    <x v="6"/>
    <n v="4.3"/>
    <n v="197"/>
    <x v="1"/>
    <x v="0"/>
  </r>
  <r>
    <x v="26"/>
    <n v="1820"/>
    <n v="3490"/>
    <n v="0.47851002865329512"/>
    <x v="21"/>
    <n v="-9"/>
    <n v="9"/>
    <x v="6"/>
    <n v="4.3"/>
    <n v="1670"/>
    <x v="1"/>
    <x v="0"/>
  </r>
  <r>
    <x v="27"/>
    <n v="2048"/>
    <n v="4500"/>
    <n v="0.54488888888888887"/>
    <x v="22"/>
    <n v="-7"/>
    <n v="7"/>
    <x v="6"/>
    <n v="4.3"/>
    <n v="2452"/>
    <x v="1"/>
    <x v="0"/>
  </r>
  <r>
    <x v="28"/>
    <n v="1680"/>
    <n v="2499"/>
    <n v="0.32773109243697479"/>
    <x v="23"/>
    <n v="-9"/>
    <n v="9"/>
    <x v="7"/>
    <n v="4.2"/>
    <n v="819"/>
    <x v="1"/>
    <x v="1"/>
  </r>
  <r>
    <x v="29"/>
    <n v="1758"/>
    <n v="2499"/>
    <n v="0.2965186074429772"/>
    <x v="24"/>
    <n v="-2"/>
    <n v="2"/>
    <x v="8"/>
    <n v="4.0999999999999996"/>
    <n v="741"/>
    <x v="1"/>
    <x v="1"/>
  </r>
  <r>
    <x v="30"/>
    <n v="527"/>
    <n v="999"/>
    <n v="0.47247247247247248"/>
    <x v="6"/>
    <n v="-14"/>
    <n v="14"/>
    <x v="8"/>
    <n v="4.0999999999999996"/>
    <n v="472"/>
    <x v="1"/>
    <x v="0"/>
  </r>
  <r>
    <x v="31"/>
    <n v="799"/>
    <n v="999"/>
    <n v="0.20020020020020021"/>
    <x v="25"/>
    <n v="-12"/>
    <n v="12"/>
    <x v="8"/>
    <n v="4.0999999999999996"/>
    <n v="200"/>
    <x v="1"/>
    <x v="2"/>
  </r>
  <r>
    <x v="32"/>
    <n v="2999"/>
    <n v="3290"/>
    <n v="8.8449848024316116E-2"/>
    <x v="26"/>
    <n v="-15"/>
    <n v="15"/>
    <x v="9"/>
    <n v="4"/>
    <n v="291"/>
    <x v="1"/>
    <x v="2"/>
  </r>
  <r>
    <x v="33"/>
    <n v="880"/>
    <n v="1350"/>
    <n v="0.34814814814814815"/>
    <x v="13"/>
    <n v="-6"/>
    <n v="6"/>
    <x v="9"/>
    <n v="4"/>
    <n v="470"/>
    <x v="1"/>
    <x v="1"/>
  </r>
  <r>
    <x v="34"/>
    <n v="988"/>
    <n v="1580"/>
    <n v="0.37468354430379747"/>
    <x v="11"/>
    <n v="-2"/>
    <n v="2"/>
    <x v="9"/>
    <n v="4"/>
    <n v="592"/>
    <x v="1"/>
    <x v="1"/>
  </r>
  <r>
    <x v="35"/>
    <n v="330"/>
    <n v="647"/>
    <n v="0.48995363214837712"/>
    <x v="27"/>
    <n v="-1"/>
    <n v="1"/>
    <x v="9"/>
    <n v="4"/>
    <n v="317"/>
    <x v="1"/>
    <x v="1"/>
  </r>
  <r>
    <x v="36"/>
    <n v="1350"/>
    <n v="1990"/>
    <n v="0.32160804020100503"/>
    <x v="28"/>
    <n v="-13"/>
    <n v="13"/>
    <x v="10"/>
    <n v="3.8"/>
    <n v="640"/>
    <x v="1"/>
    <x v="1"/>
  </r>
  <r>
    <x v="37"/>
    <n v="2880"/>
    <n v="3520"/>
    <n v="0.18181818181818182"/>
    <x v="29"/>
    <n v="-12"/>
    <n v="12"/>
    <x v="10"/>
    <n v="3.8"/>
    <n v="640"/>
    <x v="1"/>
    <x v="2"/>
  </r>
  <r>
    <x v="38"/>
    <n v="1600"/>
    <n v="2929"/>
    <n v="0.45373847729600547"/>
    <x v="30"/>
    <n v="-5"/>
    <n v="5"/>
    <x v="10"/>
    <n v="3.8"/>
    <n v="1329"/>
    <x v="1"/>
    <x v="0"/>
  </r>
  <r>
    <x v="39"/>
    <n v="38"/>
    <n v="80"/>
    <n v="0.52500000000000002"/>
    <x v="1"/>
    <n v="-13"/>
    <n v="13"/>
    <x v="11"/>
    <n v="3.3"/>
    <n v="42"/>
    <x v="1"/>
    <x v="0"/>
  </r>
  <r>
    <x v="40"/>
    <n v="458"/>
    <n v="986"/>
    <n v="0.53549695740365111"/>
    <x v="7"/>
    <n v="-1"/>
    <n v="1"/>
    <x v="12"/>
    <n v="3"/>
    <n v="528"/>
    <x v="1"/>
    <x v="0"/>
  </r>
  <r>
    <x v="41"/>
    <n v="3750"/>
    <n v="6143"/>
    <n v="0.38954908025394758"/>
    <x v="30"/>
    <n v="-5"/>
    <n v="5"/>
    <x v="12"/>
    <n v="3"/>
    <n v="2393"/>
    <x v="1"/>
    <x v="0"/>
  </r>
  <r>
    <x v="42"/>
    <n v="2300"/>
    <n v="3240"/>
    <n v="0.29012345679012347"/>
    <x v="31"/>
    <n v="-5"/>
    <n v="5"/>
    <x v="12"/>
    <n v="3"/>
    <n v="940"/>
    <x v="1"/>
    <x v="1"/>
  </r>
  <r>
    <x v="43"/>
    <n v="509"/>
    <n v="899"/>
    <n v="0.43381535038932145"/>
    <x v="32"/>
    <n v="-5"/>
    <n v="5"/>
    <x v="12"/>
    <n v="3"/>
    <n v="390"/>
    <x v="1"/>
    <x v="1"/>
  </r>
  <r>
    <x v="44"/>
    <n v="1189"/>
    <n v="2199"/>
    <n v="0.45929968167348795"/>
    <x v="33"/>
    <n v="-1"/>
    <n v="1"/>
    <x v="12"/>
    <n v="3"/>
    <n v="1010"/>
    <x v="1"/>
    <x v="2"/>
  </r>
  <r>
    <x v="45"/>
    <n v="1220"/>
    <n v="1555"/>
    <n v="0.21543408360128619"/>
    <x v="0"/>
    <n v="-16"/>
    <n v="16"/>
    <x v="13"/>
    <n v="2.9"/>
    <n v="335"/>
    <x v="2"/>
    <x v="0"/>
  </r>
  <r>
    <x v="46"/>
    <n v="445"/>
    <n v="873"/>
    <n v="0.49026345933562426"/>
    <x v="22"/>
    <n v="-69"/>
    <n v="69"/>
    <x v="14"/>
    <n v="2.8"/>
    <n v="428"/>
    <x v="2"/>
    <x v="0"/>
  </r>
  <r>
    <x v="47"/>
    <n v="325"/>
    <n v="680"/>
    <n v="0.5220588235294118"/>
    <x v="7"/>
    <n v="-15"/>
    <n v="15"/>
    <x v="15"/>
    <n v="2.7"/>
    <n v="355"/>
    <x v="2"/>
    <x v="0"/>
  </r>
  <r>
    <x v="48"/>
    <n v="382"/>
    <n v="700"/>
    <n v="0.45428571428571429"/>
    <x v="34"/>
    <n v="-17"/>
    <n v="17"/>
    <x v="16"/>
    <n v="2.6"/>
    <n v="318"/>
    <x v="2"/>
    <x v="0"/>
  </r>
  <r>
    <x v="49"/>
    <n v="2170"/>
    <n v="2500"/>
    <n v="0.13200000000000001"/>
    <x v="10"/>
    <n v="-6"/>
    <n v="6"/>
    <x v="17"/>
    <n v="2.5"/>
    <n v="330"/>
    <x v="2"/>
    <x v="1"/>
  </r>
  <r>
    <x v="50"/>
    <n v="1000"/>
    <n v="2000"/>
    <n v="0.5"/>
    <x v="35"/>
    <n v="-7"/>
    <n v="7"/>
    <x v="18"/>
    <n v="2.2999999999999998"/>
    <n v="1000"/>
    <x v="2"/>
    <x v="1"/>
  </r>
  <r>
    <x v="51"/>
    <n v="345"/>
    <n v="602"/>
    <n v="0.42691029900332228"/>
    <x v="30"/>
    <n v="-6"/>
    <n v="6"/>
    <x v="18"/>
    <n v="2.2999999999999998"/>
    <n v="257"/>
    <x v="2"/>
    <x v="0"/>
  </r>
  <r>
    <x v="52"/>
    <n v="990"/>
    <n v="1814"/>
    <n v="0.45424476295479604"/>
    <x v="20"/>
    <n v="-6"/>
    <n v="6"/>
    <x v="19"/>
    <n v="2.2000000000000002"/>
    <n v="824"/>
    <x v="2"/>
    <x v="0"/>
  </r>
  <r>
    <x v="53"/>
    <n v="968"/>
    <n v="1814"/>
    <n v="0.46637265711135611"/>
    <x v="36"/>
    <n v="-6"/>
    <n v="6"/>
    <x v="19"/>
    <n v="2.2000000000000002"/>
    <n v="846"/>
    <x v="2"/>
    <x v="0"/>
  </r>
  <r>
    <x v="54"/>
    <n v="2115"/>
    <n v="4700"/>
    <n v="0.55000000000000004"/>
    <x v="37"/>
    <n v="-13"/>
    <n v="13"/>
    <x v="20"/>
    <n v="2.1"/>
    <n v="2585"/>
    <x v="2"/>
    <x v="2"/>
  </r>
  <r>
    <x v="55"/>
    <n v="1570"/>
    <n v="2988"/>
    <n v="0.4745649263721553"/>
    <x v="36"/>
    <n v="-7"/>
    <n v="7"/>
    <x v="20"/>
    <n v="2.1"/>
    <n v="1418"/>
    <x v="2"/>
    <x v="0"/>
  </r>
  <r>
    <x v="56"/>
    <n v="450"/>
    <n v="900"/>
    <n v="0.5"/>
    <x v="12"/>
    <n v="-1"/>
    <n v="1"/>
    <x v="21"/>
    <n v="2"/>
    <n v="450"/>
    <x v="2"/>
    <x v="1"/>
  </r>
  <r>
    <x v="57"/>
    <n v="299"/>
    <n v="600"/>
    <n v="0.50166666666666671"/>
    <x v="38"/>
    <m/>
    <n v="0"/>
    <x v="22"/>
    <n v="0"/>
    <n v="301"/>
    <x v="2"/>
    <x v="0"/>
  </r>
  <r>
    <x v="58"/>
    <n v="1660"/>
    <n v="1699"/>
    <n v="2.2954679223072396E-2"/>
    <x v="34"/>
    <m/>
    <n v="0"/>
    <x v="22"/>
    <n v="0"/>
    <n v="39"/>
    <x v="2"/>
    <x v="0"/>
  </r>
  <r>
    <x v="59"/>
    <n v="1526"/>
    <n v="1660"/>
    <n v="8.0722891566265054E-2"/>
    <x v="34"/>
    <m/>
    <n v="0"/>
    <x v="22"/>
    <n v="0"/>
    <n v="134"/>
    <x v="2"/>
    <x v="0"/>
  </r>
  <r>
    <x v="60"/>
    <n v="1190"/>
    <n v="1785"/>
    <n v="0.33333333333333331"/>
    <x v="34"/>
    <m/>
    <n v="0"/>
    <x v="22"/>
    <n v="0"/>
    <n v="595"/>
    <x v="2"/>
    <x v="0"/>
  </r>
  <r>
    <x v="61"/>
    <n v="1080"/>
    <n v="1874"/>
    <n v="0.42369263607257202"/>
    <x v="34"/>
    <m/>
    <n v="0"/>
    <x v="22"/>
    <n v="0"/>
    <n v="794"/>
    <x v="2"/>
    <x v="0"/>
  </r>
  <r>
    <x v="62"/>
    <n v="238"/>
    <n v="476"/>
    <n v="0.5"/>
    <x v="34"/>
    <m/>
    <n v="0"/>
    <x v="22"/>
    <n v="0"/>
    <n v="238"/>
    <x v="2"/>
    <x v="0"/>
  </r>
  <r>
    <x v="63"/>
    <n v="2799"/>
    <n v="3810"/>
    <n v="0.26535433070866143"/>
    <x v="0"/>
    <m/>
    <n v="0"/>
    <x v="22"/>
    <n v="0"/>
    <n v="1011"/>
    <x v="2"/>
    <x v="0"/>
  </r>
  <r>
    <x v="64"/>
    <n v="1875"/>
    <n v="1899"/>
    <n v="1.2638230647709321E-2"/>
    <x v="0"/>
    <m/>
    <n v="0"/>
    <x v="22"/>
    <n v="0"/>
    <n v="24"/>
    <x v="2"/>
    <x v="0"/>
  </r>
  <r>
    <x v="65"/>
    <n v="1666"/>
    <n v="1699"/>
    <n v="1.9423190111830489E-2"/>
    <x v="0"/>
    <m/>
    <n v="0"/>
    <x v="22"/>
    <n v="0"/>
    <n v="33"/>
    <x v="2"/>
    <x v="0"/>
  </r>
  <r>
    <x v="66"/>
    <n v="1468"/>
    <n v="1699"/>
    <n v="0.13596233078281342"/>
    <x v="0"/>
    <m/>
    <n v="0"/>
    <x v="22"/>
    <n v="0"/>
    <n v="231"/>
    <x v="2"/>
    <x v="0"/>
  </r>
  <r>
    <x v="67"/>
    <n v="1200"/>
    <n v="1950"/>
    <n v="0.38461538461538464"/>
    <x v="0"/>
    <m/>
    <n v="0"/>
    <x v="22"/>
    <n v="0"/>
    <n v="750"/>
    <x v="2"/>
    <x v="0"/>
  </r>
  <r>
    <x v="68"/>
    <n v="1150"/>
    <n v="1737"/>
    <n v="0.3379389752446747"/>
    <x v="0"/>
    <m/>
    <n v="0"/>
    <x v="22"/>
    <n v="0"/>
    <n v="587"/>
    <x v="2"/>
    <x v="0"/>
  </r>
  <r>
    <x v="69"/>
    <n v="850"/>
    <n v="1700"/>
    <n v="0.5"/>
    <x v="0"/>
    <m/>
    <n v="0"/>
    <x v="22"/>
    <n v="0"/>
    <n v="850"/>
    <x v="2"/>
    <x v="0"/>
  </r>
  <r>
    <x v="70"/>
    <n v="475"/>
    <n v="931"/>
    <n v="0.48979591836734693"/>
    <x v="0"/>
    <m/>
    <n v="0"/>
    <x v="22"/>
    <n v="0"/>
    <n v="456"/>
    <x v="2"/>
    <x v="0"/>
  </r>
  <r>
    <x v="71"/>
    <n v="274"/>
    <n v="537"/>
    <n v="0.48975791433891991"/>
    <x v="0"/>
    <m/>
    <n v="0"/>
    <x v="22"/>
    <n v="0"/>
    <n v="263"/>
    <x v="2"/>
    <x v="0"/>
  </r>
  <r>
    <x v="72"/>
    <n v="105"/>
    <n v="200"/>
    <n v="0.47499999999999998"/>
    <x v="0"/>
    <m/>
    <n v="0"/>
    <x v="22"/>
    <n v="0"/>
    <n v="95"/>
    <x v="2"/>
    <x v="0"/>
  </r>
  <r>
    <x v="73"/>
    <n v="1462"/>
    <n v="1499"/>
    <n v="2.4683122081387593E-2"/>
    <x v="21"/>
    <m/>
    <n v="0"/>
    <x v="22"/>
    <n v="0"/>
    <n v="37"/>
    <x v="2"/>
    <x v="0"/>
  </r>
  <r>
    <x v="74"/>
    <n v="799"/>
    <n v="1567"/>
    <n v="0.49010848755583919"/>
    <x v="21"/>
    <m/>
    <n v="0"/>
    <x v="22"/>
    <n v="0"/>
    <n v="768"/>
    <x v="2"/>
    <x v="0"/>
  </r>
  <r>
    <x v="75"/>
    <n v="248"/>
    <n v="486"/>
    <n v="0.48971193415637859"/>
    <x v="21"/>
    <m/>
    <n v="0"/>
    <x v="22"/>
    <n v="0"/>
    <n v="238"/>
    <x v="2"/>
    <x v="0"/>
  </r>
  <r>
    <x v="76"/>
    <n v="3546"/>
    <n v="3699"/>
    <n v="4.1362530413625302E-2"/>
    <x v="6"/>
    <m/>
    <n v="0"/>
    <x v="22"/>
    <n v="0"/>
    <n v="153"/>
    <x v="2"/>
    <x v="0"/>
  </r>
  <r>
    <x v="77"/>
    <n v="1732"/>
    <n v="1799"/>
    <n v="3.7242912729294052E-2"/>
    <x v="6"/>
    <m/>
    <n v="0"/>
    <x v="22"/>
    <n v="0"/>
    <n v="67"/>
    <x v="2"/>
    <x v="0"/>
  </r>
  <r>
    <x v="78"/>
    <n v="790"/>
    <n v="1485"/>
    <n v="0.46801346801346799"/>
    <x v="6"/>
    <m/>
    <n v="0"/>
    <x v="22"/>
    <n v="0"/>
    <n v="695"/>
    <x v="2"/>
    <x v="0"/>
  </r>
  <r>
    <x v="79"/>
    <n v="690"/>
    <n v="1200"/>
    <n v="0.42499999999999999"/>
    <x v="6"/>
    <m/>
    <n v="0"/>
    <x v="22"/>
    <n v="0"/>
    <n v="510"/>
    <x v="2"/>
    <x v="0"/>
  </r>
  <r>
    <x v="80"/>
    <n v="525"/>
    <n v="1029"/>
    <n v="0.48979591836734693"/>
    <x v="6"/>
    <m/>
    <n v="0"/>
    <x v="22"/>
    <n v="0"/>
    <n v="504"/>
    <x v="2"/>
    <x v="0"/>
  </r>
  <r>
    <x v="81"/>
    <n v="2200"/>
    <n v="4080"/>
    <n v="0.46078431372549017"/>
    <x v="3"/>
    <m/>
    <n v="0"/>
    <x v="22"/>
    <n v="0"/>
    <n v="1880"/>
    <x v="2"/>
    <x v="0"/>
  </r>
  <r>
    <x v="82"/>
    <n v="1460"/>
    <n v="2290"/>
    <n v="0.36244541484716158"/>
    <x v="3"/>
    <m/>
    <n v="0"/>
    <x v="22"/>
    <n v="0"/>
    <n v="830"/>
    <x v="2"/>
    <x v="0"/>
  </r>
  <r>
    <x v="83"/>
    <n v="699"/>
    <n v="1343"/>
    <n v="0.47952345495160087"/>
    <x v="30"/>
    <m/>
    <n v="0"/>
    <x v="22"/>
    <n v="0"/>
    <n v="644"/>
    <x v="2"/>
    <x v="0"/>
  </r>
  <r>
    <x v="84"/>
    <n v="1200"/>
    <n v="2400"/>
    <n v="0.5"/>
    <x v="36"/>
    <m/>
    <n v="0"/>
    <x v="22"/>
    <n v="0"/>
    <n v="1200"/>
    <x v="2"/>
    <x v="0"/>
  </r>
  <r>
    <x v="85"/>
    <n v="230"/>
    <n v="450"/>
    <n v="0.48888888888888887"/>
    <x v="36"/>
    <m/>
    <n v="0"/>
    <x v="22"/>
    <n v="0"/>
    <n v="220"/>
    <x v="2"/>
    <x v="0"/>
  </r>
  <r>
    <x v="86"/>
    <n v="2132"/>
    <n v="2169"/>
    <n v="1.705855232826187E-2"/>
    <x v="16"/>
    <m/>
    <n v="0"/>
    <x v="22"/>
    <n v="0"/>
    <n v="37"/>
    <x v="2"/>
    <x v="0"/>
  </r>
  <r>
    <x v="87"/>
    <n v="1860"/>
    <n v="3220"/>
    <n v="0.42236024844720499"/>
    <x v="16"/>
    <m/>
    <n v="0"/>
    <x v="22"/>
    <n v="0"/>
    <n v="1360"/>
    <x v="2"/>
    <x v="0"/>
  </r>
  <r>
    <x v="88"/>
    <n v="1190"/>
    <n v="1810"/>
    <n v="0.34254143646408841"/>
    <x v="16"/>
    <m/>
    <n v="0"/>
    <x v="22"/>
    <n v="0"/>
    <n v="620"/>
    <x v="2"/>
    <x v="0"/>
  </r>
  <r>
    <x v="89"/>
    <n v="799"/>
    <n v="900"/>
    <n v="0.11222222222222222"/>
    <x v="16"/>
    <m/>
    <n v="0"/>
    <x v="22"/>
    <n v="0"/>
    <n v="101"/>
    <x v="2"/>
    <x v="0"/>
  </r>
  <r>
    <x v="90"/>
    <n v="610"/>
    <n v="1060"/>
    <n v="0.42452830188679247"/>
    <x v="16"/>
    <m/>
    <n v="0"/>
    <x v="22"/>
    <n v="0"/>
    <n v="450"/>
    <x v="2"/>
    <x v="0"/>
  </r>
  <r>
    <x v="91"/>
    <n v="1768"/>
    <n v="1799"/>
    <n v="1.7231795441912175E-2"/>
    <x v="19"/>
    <m/>
    <n v="0"/>
    <x v="22"/>
    <n v="0"/>
    <n v="31"/>
    <x v="2"/>
    <x v="0"/>
  </r>
  <r>
    <x v="92"/>
    <n v="499"/>
    <n v="900"/>
    <n v="0.44555555555555554"/>
    <x v="19"/>
    <m/>
    <n v="0"/>
    <x v="22"/>
    <n v="0"/>
    <n v="401"/>
    <x v="2"/>
    <x v="0"/>
  </r>
  <r>
    <x v="93"/>
    <n v="2750"/>
    <n v="4471"/>
    <n v="0.38492507269067322"/>
    <x v="17"/>
    <m/>
    <n v="0"/>
    <x v="22"/>
    <n v="0"/>
    <n v="1721"/>
    <x v="2"/>
    <x v="1"/>
  </r>
  <r>
    <x v="94"/>
    <n v="199"/>
    <n v="504"/>
    <n v="0.60515873015873012"/>
    <x v="17"/>
    <m/>
    <n v="0"/>
    <x v="22"/>
    <n v="0"/>
    <n v="305"/>
    <x v="2"/>
    <x v="1"/>
  </r>
  <r>
    <x v="95"/>
    <n v="169"/>
    <n v="320"/>
    <n v="0.47187499999999999"/>
    <x v="9"/>
    <m/>
    <n v="0"/>
    <x v="22"/>
    <n v="0"/>
    <n v="151"/>
    <x v="2"/>
    <x v="1"/>
  </r>
  <r>
    <x v="96"/>
    <n v="671"/>
    <n v="1316"/>
    <n v="0.49012158054711247"/>
    <x v="23"/>
    <m/>
    <n v="0"/>
    <x v="22"/>
    <n v="0"/>
    <n v="645"/>
    <x v="2"/>
    <x v="1"/>
  </r>
  <r>
    <x v="97"/>
    <n v="1459"/>
    <n v="1499"/>
    <n v="2.6684456304202801E-2"/>
    <x v="35"/>
    <m/>
    <n v="0"/>
    <x v="22"/>
    <n v="0"/>
    <n v="40"/>
    <x v="2"/>
    <x v="1"/>
  </r>
  <r>
    <x v="98"/>
    <n v="1658"/>
    <n v="1699"/>
    <n v="2.4131842260153032E-2"/>
    <x v="39"/>
    <m/>
    <n v="0"/>
    <x v="22"/>
    <n v="0"/>
    <n v="41"/>
    <x v="2"/>
    <x v="1"/>
  </r>
  <r>
    <x v="99"/>
    <n v="899"/>
    <n v="1699"/>
    <n v="0.47086521483225424"/>
    <x v="40"/>
    <m/>
    <n v="0"/>
    <x v="22"/>
    <n v="0"/>
    <n v="800"/>
    <x v="2"/>
    <x v="2"/>
  </r>
  <r>
    <x v="100"/>
    <n v="630"/>
    <n v="1100"/>
    <n v="0.42727272727272725"/>
    <x v="40"/>
    <m/>
    <n v="0"/>
    <x v="22"/>
    <n v="0"/>
    <n v="470"/>
    <x v="2"/>
    <x v="2"/>
  </r>
  <r>
    <x v="101"/>
    <n v="1300"/>
    <n v="2500"/>
    <n v="0.48"/>
    <x v="41"/>
    <m/>
    <n v="0"/>
    <x v="22"/>
    <n v="0"/>
    <n v="1200"/>
    <x v="2"/>
    <x v="2"/>
  </r>
  <r>
    <x v="102"/>
    <n v="198"/>
    <n v="260"/>
    <n v="0.23846153846153847"/>
    <x v="33"/>
    <m/>
    <n v="0"/>
    <x v="22"/>
    <n v="0"/>
    <n v="62"/>
    <x v="2"/>
    <x v="2"/>
  </r>
  <r>
    <x v="103"/>
    <n v="799"/>
    <n v="1343"/>
    <n v="0.4050632911392405"/>
    <x v="42"/>
    <m/>
    <n v="0"/>
    <x v="22"/>
    <n v="0"/>
    <n v="544"/>
    <x v="2"/>
    <x v="2"/>
  </r>
  <r>
    <x v="104"/>
    <n v="1466"/>
    <n v="1699"/>
    <n v="0.13713949381989404"/>
    <x v="43"/>
    <m/>
    <n v="0"/>
    <x v="22"/>
    <n v="0"/>
    <n v="233"/>
    <x v="2"/>
    <x v="2"/>
  </r>
  <r>
    <x v="105"/>
    <n v="1420"/>
    <n v="2420"/>
    <n v="0.41322314049586778"/>
    <x v="43"/>
    <m/>
    <n v="0"/>
    <x v="22"/>
    <n v="0"/>
    <n v="1000"/>
    <x v="2"/>
    <x v="2"/>
  </r>
  <r>
    <x v="106"/>
    <n v="999"/>
    <n v="2000"/>
    <n v="0.50049999999999994"/>
    <x v="43"/>
    <m/>
    <n v="0"/>
    <x v="22"/>
    <n v="0"/>
    <n v="1001"/>
    <x v="2"/>
    <x v="2"/>
  </r>
  <r>
    <x v="107"/>
    <n v="299"/>
    <n v="384"/>
    <n v="0.22135416666666666"/>
    <x v="43"/>
    <m/>
    <n v="0"/>
    <x v="22"/>
    <n v="0"/>
    <n v="85"/>
    <x v="2"/>
    <x v="2"/>
  </r>
  <r>
    <x v="108"/>
    <n v="199"/>
    <n v="553"/>
    <n v="0.64014466546112114"/>
    <x v="44"/>
    <m/>
    <n v="0"/>
    <x v="22"/>
    <n v="0"/>
    <n v="354"/>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1">
    <pivotField showAll="0"/>
    <pivotField dataField="1" showAll="0">
      <items count="102">
        <item x="19"/>
        <item x="83"/>
        <item x="99"/>
        <item x="35"/>
        <item x="29"/>
        <item x="16"/>
        <item x="94"/>
        <item x="47"/>
        <item x="71"/>
        <item x="40"/>
        <item x="87"/>
        <item x="78"/>
        <item x="48"/>
        <item x="58"/>
        <item x="76"/>
        <item x="15"/>
        <item x="64"/>
        <item x="62"/>
        <item x="36"/>
        <item x="24"/>
        <item x="57"/>
        <item x="98"/>
        <item x="55"/>
        <item x="39"/>
        <item x="51"/>
        <item x="13"/>
        <item x="65"/>
        <item x="89"/>
        <item x="1"/>
        <item x="12"/>
        <item x="41"/>
        <item x="80"/>
        <item x="45"/>
        <item x="69"/>
        <item x="52"/>
        <item x="68"/>
        <item x="10"/>
        <item x="81"/>
        <item x="21"/>
        <item x="84"/>
        <item x="0"/>
        <item x="66"/>
        <item x="73"/>
        <item x="30"/>
        <item x="7"/>
        <item x="11"/>
        <item x="18"/>
        <item x="43"/>
        <item x="60"/>
        <item x="90"/>
        <item x="95"/>
        <item x="72"/>
        <item x="44"/>
        <item x="46"/>
        <item x="59"/>
        <item x="8"/>
        <item x="82"/>
        <item x="26"/>
        <item x="92"/>
        <item x="50"/>
        <item x="74"/>
        <item x="86"/>
        <item x="77"/>
        <item x="79"/>
        <item x="85"/>
        <item x="67"/>
        <item x="3"/>
        <item x="9"/>
        <item x="34"/>
        <item x="22"/>
        <item x="96"/>
        <item x="49"/>
        <item x="75"/>
        <item x="14"/>
        <item x="70"/>
        <item x="4"/>
        <item x="27"/>
        <item x="97"/>
        <item x="31"/>
        <item x="20"/>
        <item x="93"/>
        <item x="32"/>
        <item x="33"/>
        <item x="17"/>
        <item x="23"/>
        <item x="56"/>
        <item x="42"/>
        <item x="54"/>
        <item x="2"/>
        <item x="28"/>
        <item x="63"/>
        <item x="6"/>
        <item x="38"/>
        <item x="53"/>
        <item x="25"/>
        <item x="5"/>
        <item x="88"/>
        <item x="91"/>
        <item x="61"/>
        <item x="37"/>
        <item x="100"/>
        <item t="default"/>
      </items>
    </pivotField>
    <pivotField dataField="1" showAll="0">
      <items count="92">
        <item x="18"/>
        <item x="76"/>
        <item x="85"/>
        <item x="89"/>
        <item x="14"/>
        <item x="27"/>
        <item x="47"/>
        <item x="69"/>
        <item x="37"/>
        <item x="79"/>
        <item x="44"/>
        <item x="73"/>
        <item x="88"/>
        <item x="45"/>
        <item x="63"/>
        <item x="23"/>
        <item x="33"/>
        <item x="57"/>
        <item x="13"/>
        <item x="61"/>
        <item x="12"/>
        <item x="56"/>
        <item x="64"/>
        <item x="50"/>
        <item x="36"/>
        <item x="54"/>
        <item x="1"/>
        <item x="80"/>
        <item x="11"/>
        <item x="38"/>
        <item x="74"/>
        <item x="67"/>
        <item x="42"/>
        <item x="49"/>
        <item x="20"/>
        <item x="66"/>
        <item x="28"/>
        <item x="48"/>
        <item x="10"/>
        <item x="0"/>
        <item x="58"/>
        <item x="51"/>
        <item x="7"/>
        <item x="78"/>
        <item x="46"/>
        <item x="75"/>
        <item x="86"/>
        <item x="41"/>
        <item x="68"/>
        <item x="87"/>
        <item x="59"/>
        <item x="81"/>
        <item x="84"/>
        <item x="71"/>
        <item x="43"/>
        <item x="17"/>
        <item x="25"/>
        <item x="40"/>
        <item x="21"/>
        <item x="39"/>
        <item x="70"/>
        <item x="72"/>
        <item x="4"/>
        <item x="77"/>
        <item x="83"/>
        <item x="3"/>
        <item x="53"/>
        <item x="30"/>
        <item x="32"/>
        <item x="31"/>
        <item x="8"/>
        <item x="2"/>
        <item x="9"/>
        <item x="65"/>
        <item x="6"/>
        <item x="19"/>
        <item x="62"/>
        <item x="5"/>
        <item x="29"/>
        <item x="24"/>
        <item x="16"/>
        <item x="52"/>
        <item x="15"/>
        <item x="26"/>
        <item x="35"/>
        <item x="22"/>
        <item x="82"/>
        <item x="55"/>
        <item x="60"/>
        <item x="34"/>
        <item x="90"/>
        <item t="default"/>
      </items>
    </pivotField>
    <pivotField dataField="1" numFmtId="10" showAll="0"/>
    <pivotField showAll="0"/>
    <pivotField showAll="0"/>
    <pivotField showAll="0"/>
    <pivotField dataField="1" showAll="0"/>
    <pivotField showAll="0"/>
    <pivotField showAll="0"/>
    <pivotField showAll="0"/>
  </pivotFields>
  <rowItems count="1">
    <i/>
  </rowItems>
  <colFields count="1">
    <field x="-2"/>
  </colFields>
  <colItems count="4">
    <i>
      <x/>
    </i>
    <i i="1">
      <x v="1"/>
    </i>
    <i i="2">
      <x v="2"/>
    </i>
    <i i="3">
      <x v="3"/>
    </i>
  </colItems>
  <dataFields count="4">
    <dataField name="Average of Discount" fld="3" subtotal="average" baseField="0" baseItem="1" numFmtId="9"/>
    <dataField name="Average of C-Ratings" fld="7" subtotal="average" baseField="0" baseItem="1"/>
    <dataField name="Average of Current price" fld="1" subtotal="average" baseField="0" baseItem="1"/>
    <dataField name="Average of old price" fld="2" subtotal="average" baseField="0" baseItem="1"/>
  </dataFields>
  <formats count="1">
    <format dxfId="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9" firstHeaderRow="1" firstDataRow="1" firstDataCol="1"/>
  <pivotFields count="11">
    <pivotField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dataField="1" numFmtId="10"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items count="26">
        <item x="21"/>
        <item x="6"/>
        <item x="15"/>
        <item x="12"/>
        <item x="8"/>
        <item x="19"/>
        <item x="17"/>
        <item x="2"/>
        <item x="16"/>
        <item x="23"/>
        <item x="22"/>
        <item x="5"/>
        <item x="1"/>
        <item x="13"/>
        <item x="7"/>
        <item x="20"/>
        <item x="10"/>
        <item x="3"/>
        <item x="9"/>
        <item x="4"/>
        <item x="11"/>
        <item x="0"/>
        <item x="18"/>
        <item x="14"/>
        <item x="24"/>
        <item t="default"/>
      </items>
    </pivotField>
    <pivotField axis="axisRow" showAll="0">
      <items count="26">
        <item x="24"/>
        <item x="18"/>
        <item x="0"/>
        <item x="11"/>
        <item x="4"/>
        <item x="9"/>
        <item x="3"/>
        <item x="10"/>
        <item x="20"/>
        <item x="7"/>
        <item x="13"/>
        <item x="1"/>
        <item x="5"/>
        <item x="22"/>
        <item x="23"/>
        <item x="16"/>
        <item x="2"/>
        <item x="17"/>
        <item x="19"/>
        <item x="8"/>
        <item x="12"/>
        <item x="15"/>
        <item x="6"/>
        <item x="21"/>
        <item x="14"/>
        <item t="default"/>
      </items>
    </pivotField>
    <pivotField showAll="0"/>
    <pivotField showAll="0">
      <items count="24">
        <item x="10"/>
        <item x="22"/>
        <item x="15"/>
        <item x="19"/>
        <item x="20"/>
        <item x="13"/>
        <item x="21"/>
        <item x="17"/>
        <item x="16"/>
        <item x="18"/>
        <item x="14"/>
        <item x="9"/>
        <item x="6"/>
        <item x="5"/>
        <item x="1"/>
        <item x="7"/>
        <item x="12"/>
        <item x="11"/>
        <item x="0"/>
        <item x="2"/>
        <item x="3"/>
        <item x="4"/>
        <item x="8"/>
        <item t="default"/>
      </items>
    </pivotField>
    <pivotField showAll="0"/>
    <pivotField showAll="0"/>
    <pivotField showAll="0"/>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Disc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7" firstHeaderRow="0" firstDataRow="1" firstDataCol="1"/>
  <pivotFields count="12">
    <pivotField showAll="0"/>
    <pivotField showAll="0"/>
    <pivotField showAll="0"/>
    <pivotField showAll="0"/>
    <pivotField dataField="1" showAll="0"/>
    <pivotField showAll="0"/>
    <pivotField showAll="0"/>
    <pivotField showAll="0"/>
    <pivotField dataField="1" showAll="0"/>
    <pivotField showAll="0"/>
    <pivotField showAll="0"/>
    <pivotField axis="axisRow" showAll="0">
      <items count="5">
        <item x="0"/>
        <item x="2"/>
        <item x="1"/>
        <item h="1" x="3"/>
        <item t="default"/>
      </items>
    </pivotField>
  </pivotFields>
  <rowFields count="1">
    <field x="11"/>
  </rowFields>
  <rowItems count="4">
    <i>
      <x/>
    </i>
    <i>
      <x v="1"/>
    </i>
    <i>
      <x v="2"/>
    </i>
    <i t="grand">
      <x/>
    </i>
  </rowItems>
  <colFields count="1">
    <field x="-2"/>
  </colFields>
  <colItems count="2">
    <i>
      <x/>
    </i>
    <i i="1">
      <x v="1"/>
    </i>
  </colItems>
  <dataFields count="2">
    <dataField name="Average of C-Ratings" fld="8" subtotal="average" baseField="0" baseItem="9"/>
    <dataField name="Average of Discount" fld="4" subtotal="average" baseField="11" baseItem="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6"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2">
    <pivotField dataField="1" showAll="0">
      <items count="111">
        <item x="21"/>
        <item x="10"/>
        <item x="22"/>
        <item x="36"/>
        <item x="12"/>
        <item x="46"/>
        <item x="63"/>
        <item x="38"/>
        <item x="14"/>
        <item x="102"/>
        <item x="65"/>
        <item x="32"/>
        <item x="64"/>
        <item x="84"/>
        <item x="67"/>
        <item x="78"/>
        <item x="41"/>
        <item x="50"/>
        <item x="16"/>
        <item x="79"/>
        <item x="39"/>
        <item x="75"/>
        <item x="7"/>
        <item x="70"/>
        <item x="87"/>
        <item x="49"/>
        <item x="29"/>
        <item x="19"/>
        <item x="11"/>
        <item x="82"/>
        <item x="54"/>
        <item x="108"/>
        <item x="99"/>
        <item x="60"/>
        <item x="85"/>
        <item x="53"/>
        <item x="61"/>
        <item x="105"/>
        <item x="48"/>
        <item x="74"/>
        <item x="2"/>
        <item x="52"/>
        <item x="80"/>
        <item x="90"/>
        <item x="4"/>
        <item x="95"/>
        <item x="57"/>
        <item x="96"/>
        <item x="71"/>
        <item x="88"/>
        <item x="106"/>
        <item x="83"/>
        <item x="1"/>
        <item x="94"/>
        <item x="77"/>
        <item x="103"/>
        <item x="34"/>
        <item x="5"/>
        <item x="55"/>
        <item x="15"/>
        <item x="25"/>
        <item x="23"/>
        <item x="31"/>
        <item x="35"/>
        <item x="47"/>
        <item x="6"/>
        <item x="42"/>
        <item x="27"/>
        <item x="0"/>
        <item x="20"/>
        <item x="8"/>
        <item x="93"/>
        <item x="26"/>
        <item x="33"/>
        <item x="68"/>
        <item x="18"/>
        <item x="44"/>
        <item x="30"/>
        <item x="76"/>
        <item x="62"/>
        <item x="28"/>
        <item x="100"/>
        <item x="81"/>
        <item x="97"/>
        <item x="40"/>
        <item x="104"/>
        <item x="89"/>
        <item x="3"/>
        <item x="58"/>
        <item x="107"/>
        <item x="9"/>
        <item x="17"/>
        <item x="73"/>
        <item x="37"/>
        <item x="101"/>
        <item x="24"/>
        <item x="72"/>
        <item x="86"/>
        <item x="98"/>
        <item x="92"/>
        <item x="91"/>
        <item x="45"/>
        <item x="69"/>
        <item x="59"/>
        <item x="56"/>
        <item x="66"/>
        <item x="51"/>
        <item x="13"/>
        <item x="43"/>
        <item x="109"/>
        <item t="default"/>
      </items>
    </pivotField>
    <pivotField showAll="0"/>
    <pivotField showAll="0"/>
    <pivotField showAll="0"/>
    <pivotField showAll="0"/>
    <pivotField showAll="0"/>
    <pivotField showAll="0"/>
    <pivotField showAll="0"/>
    <pivotField showAll="0"/>
    <pivotField showAll="0"/>
    <pivotField axis="axisRow" multipleItemSelectionAllowed="1" showAll="0">
      <items count="5">
        <item x="1"/>
        <item x="0"/>
        <item x="2"/>
        <item x="3"/>
        <item t="default"/>
      </items>
    </pivotField>
    <pivotField showAll="0"/>
  </pivotFields>
  <rowFields count="1">
    <field x="10"/>
  </rowFields>
  <rowItems count="5">
    <i>
      <x/>
    </i>
    <i>
      <x v="1"/>
    </i>
    <i>
      <x v="2"/>
    </i>
    <i>
      <x v="3"/>
    </i>
    <i t="grand">
      <x/>
    </i>
  </rowItems>
  <colItems count="1">
    <i/>
  </colItems>
  <dataFields count="1">
    <dataField name="Count of Product" fld="0" subtotal="count" baseField="0" baseItem="0"/>
  </dataFields>
  <chartFormats count="10">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3" format="9">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0"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12">
    <pivotField showAll="0"/>
    <pivotField showAll="0"/>
    <pivotField numFmtId="2" showAll="0"/>
    <pivotField numFmtId="9" showAll="0"/>
    <pivotField numFmtId="10" showAll="0">
      <items count="9">
        <item x="0"/>
        <item x="1"/>
        <item x="2"/>
        <item x="3"/>
        <item x="4"/>
        <item x="5"/>
        <item x="6"/>
        <item x="7"/>
        <item t="default"/>
      </items>
    </pivotField>
    <pivotField showAll="0"/>
    <pivotField dataField="1" showAll="0"/>
    <pivotField showAll="0"/>
    <pivotField showAll="0"/>
    <pivotField numFmtId="165" showAll="0"/>
    <pivotField showAll="0">
      <items count="4">
        <item x="1"/>
        <item x="0"/>
        <item x="2"/>
        <item t="default"/>
      </items>
    </pivotField>
    <pivotField axis="axisRow" showAll="0">
      <items count="4">
        <item x="0"/>
        <item x="2"/>
        <item x="1"/>
        <item t="default"/>
      </items>
    </pivotField>
  </pivotFields>
  <rowFields count="1">
    <field x="11"/>
  </rowFields>
  <rowItems count="4">
    <i>
      <x/>
    </i>
    <i>
      <x v="1"/>
    </i>
    <i>
      <x v="2"/>
    </i>
    <i t="grand">
      <x/>
    </i>
  </rowItems>
  <colItems count="1">
    <i/>
  </colItems>
  <dataFields count="1">
    <dataField name="Average of  Reviewspos" fld="6" subtotal="average" baseField="4"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1"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12">
    <pivotField axis="axisRow" showAll="0" measureFilter="1" sortType="descending">
      <items count="110">
        <item x="21"/>
        <item x="10"/>
        <item x="22"/>
        <item x="36"/>
        <item x="12"/>
        <item x="46"/>
        <item x="63"/>
        <item x="38"/>
        <item x="14"/>
        <item x="102"/>
        <item x="65"/>
        <item x="32"/>
        <item x="64"/>
        <item x="84"/>
        <item x="67"/>
        <item x="78"/>
        <item x="41"/>
        <item x="50"/>
        <item x="16"/>
        <item x="79"/>
        <item x="39"/>
        <item x="75"/>
        <item x="7"/>
        <item x="70"/>
        <item x="87"/>
        <item x="49"/>
        <item x="29"/>
        <item x="19"/>
        <item x="11"/>
        <item x="82"/>
        <item x="54"/>
        <item x="108"/>
        <item x="99"/>
        <item x="60"/>
        <item x="85"/>
        <item x="53"/>
        <item x="61"/>
        <item x="105"/>
        <item x="48"/>
        <item x="74"/>
        <item x="2"/>
        <item x="52"/>
        <item x="80"/>
        <item x="90"/>
        <item x="4"/>
        <item x="95"/>
        <item x="57"/>
        <item x="96"/>
        <item x="71"/>
        <item x="88"/>
        <item x="106"/>
        <item x="83"/>
        <item x="1"/>
        <item x="94"/>
        <item x="77"/>
        <item x="103"/>
        <item x="34"/>
        <item x="5"/>
        <item x="55"/>
        <item x="15"/>
        <item x="25"/>
        <item x="23"/>
        <item x="31"/>
        <item x="35"/>
        <item x="47"/>
        <item x="6"/>
        <item x="42"/>
        <item x="27"/>
        <item x="0"/>
        <item x="20"/>
        <item x="8"/>
        <item x="93"/>
        <item x="26"/>
        <item x="33"/>
        <item x="68"/>
        <item x="18"/>
        <item x="44"/>
        <item x="30"/>
        <item x="76"/>
        <item x="62"/>
        <item x="28"/>
        <item x="100"/>
        <item x="81"/>
        <item x="97"/>
        <item x="40"/>
        <item x="104"/>
        <item x="89"/>
        <item x="3"/>
        <item x="58"/>
        <item x="107"/>
        <item x="9"/>
        <item x="17"/>
        <item x="73"/>
        <item x="37"/>
        <item x="101"/>
        <item x="24"/>
        <item x="72"/>
        <item x="86"/>
        <item x="98"/>
        <item x="92"/>
        <item x="91"/>
        <item x="45"/>
        <item x="69"/>
        <item x="59"/>
        <item x="56"/>
        <item x="66"/>
        <item x="51"/>
        <item x="13"/>
        <item x="43"/>
        <item t="default"/>
      </items>
      <autoSortScope>
        <pivotArea dataOnly="0" outline="0" fieldPosition="0">
          <references count="1">
            <reference field="4294967294" count="1" selected="0">
              <x v="0"/>
            </reference>
          </references>
        </pivotArea>
      </autoSortScope>
    </pivotField>
    <pivotField showAll="0"/>
    <pivotField numFmtId="2" showAll="0"/>
    <pivotField numFmtId="9" showAll="0"/>
    <pivotField dataField="1" numFmtId="10" showAll="0">
      <items count="9">
        <item x="0"/>
        <item x="1"/>
        <item x="2"/>
        <item x="3"/>
        <item x="4"/>
        <item x="5"/>
        <item x="6"/>
        <item x="7"/>
        <item t="default"/>
      </items>
    </pivotField>
    <pivotField showAll="0"/>
    <pivotField showAll="0"/>
    <pivotField showAll="0"/>
    <pivotField showAll="0"/>
    <pivotField numFmtId="165" showAll="0"/>
    <pivotField showAll="0">
      <items count="4">
        <item x="1"/>
        <item x="0"/>
        <item x="2"/>
        <item t="default"/>
      </items>
    </pivotField>
    <pivotField showAll="0">
      <items count="4">
        <item x="0"/>
        <item x="2"/>
        <item x="1"/>
        <item t="default"/>
      </items>
    </pivotField>
  </pivotFields>
  <rowFields count="1">
    <field x="0"/>
  </rowFields>
  <rowItems count="11">
    <i>
      <x v="46"/>
    </i>
    <i>
      <x v="70"/>
    </i>
    <i>
      <x v="64"/>
    </i>
    <i>
      <x v="84"/>
    </i>
    <i>
      <x v="67"/>
    </i>
    <i>
      <x v="5"/>
    </i>
    <i>
      <x v="20"/>
    </i>
    <i>
      <x v="52"/>
    </i>
    <i>
      <x v="60"/>
    </i>
    <i>
      <x v="41"/>
    </i>
    <i t="grand">
      <x/>
    </i>
  </rowItems>
  <colItems count="1">
    <i/>
  </colItems>
  <dataFields count="1">
    <dataField name="Max of Discount" fld="4" subtotal="max" baseField="0" baseItem="0"/>
  </dataFields>
  <formats count="2">
    <format dxfId="3">
      <pivotArea grandRow="1" outline="0" collapsedLevelsAreSubtotals="1" fieldPosition="0"/>
    </format>
    <format dxfId="2">
      <pivotArea collapsedLevelsAreSubtotals="1" fieldPosition="0">
        <references count="1">
          <reference field="0" count="10">
            <x v="5"/>
            <x v="20"/>
            <x v="41"/>
            <x v="46"/>
            <x v="52"/>
            <x v="60"/>
            <x v="64"/>
            <x v="67"/>
            <x v="70"/>
            <x v="84"/>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2"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 firstHeaderRow="1" firstDataRow="1" firstDataCol="1"/>
  <pivotFields count="12">
    <pivotField axis="axisRow" showAll="0" measureFilter="1">
      <items count="110">
        <item x="21"/>
        <item x="10"/>
        <item x="22"/>
        <item x="36"/>
        <item x="12"/>
        <item x="46"/>
        <item x="63"/>
        <item x="38"/>
        <item x="14"/>
        <item x="102"/>
        <item x="65"/>
        <item x="32"/>
        <item x="64"/>
        <item x="84"/>
        <item x="67"/>
        <item x="78"/>
        <item x="41"/>
        <item x="50"/>
        <item x="16"/>
        <item x="79"/>
        <item x="39"/>
        <item x="75"/>
        <item x="7"/>
        <item x="70"/>
        <item x="87"/>
        <item x="49"/>
        <item x="29"/>
        <item x="19"/>
        <item x="11"/>
        <item x="82"/>
        <item x="54"/>
        <item x="108"/>
        <item x="99"/>
        <item x="60"/>
        <item x="85"/>
        <item x="53"/>
        <item x="61"/>
        <item x="105"/>
        <item x="48"/>
        <item x="74"/>
        <item x="2"/>
        <item x="52"/>
        <item x="80"/>
        <item x="90"/>
        <item x="4"/>
        <item x="95"/>
        <item x="57"/>
        <item x="96"/>
        <item x="71"/>
        <item x="88"/>
        <item x="106"/>
        <item x="83"/>
        <item x="1"/>
        <item x="94"/>
        <item x="77"/>
        <item x="103"/>
        <item x="34"/>
        <item x="5"/>
        <item x="55"/>
        <item x="15"/>
        <item x="25"/>
        <item x="23"/>
        <item x="31"/>
        <item x="35"/>
        <item x="47"/>
        <item x="6"/>
        <item x="42"/>
        <item x="27"/>
        <item x="0"/>
        <item x="20"/>
        <item x="8"/>
        <item x="93"/>
        <item x="26"/>
        <item x="33"/>
        <item x="68"/>
        <item x="18"/>
        <item x="44"/>
        <item x="30"/>
        <item x="76"/>
        <item x="62"/>
        <item x="28"/>
        <item x="100"/>
        <item x="81"/>
        <item x="97"/>
        <item x="40"/>
        <item x="104"/>
        <item x="89"/>
        <item x="3"/>
        <item x="58"/>
        <item x="107"/>
        <item x="9"/>
        <item x="17"/>
        <item x="73"/>
        <item x="37"/>
        <item x="101"/>
        <item x="24"/>
        <item x="72"/>
        <item x="86"/>
        <item x="98"/>
        <item x="92"/>
        <item x="91"/>
        <item x="45"/>
        <item x="69"/>
        <item x="59"/>
        <item x="56"/>
        <item x="66"/>
        <item x="51"/>
        <item x="13"/>
        <item x="43"/>
        <item t="default"/>
      </items>
    </pivotField>
    <pivotField showAll="0"/>
    <pivotField numFmtId="2" showAll="0"/>
    <pivotField numFmtId="9" showAll="0"/>
    <pivotField dataField="1" numFmtId="10" showAll="0">
      <items count="9">
        <item x="0"/>
        <item x="1"/>
        <item x="2"/>
        <item x="3"/>
        <item x="4"/>
        <item x="5"/>
        <item x="6"/>
        <item x="7"/>
        <item t="default"/>
      </items>
    </pivotField>
    <pivotField showAll="0"/>
    <pivotField showAll="0"/>
    <pivotField showAll="0"/>
    <pivotField showAll="0"/>
    <pivotField numFmtId="165" showAll="0"/>
    <pivotField showAll="0">
      <items count="4">
        <item x="1"/>
        <item x="0"/>
        <item x="2"/>
        <item t="default"/>
      </items>
    </pivotField>
    <pivotField showAll="0">
      <items count="4">
        <item x="0"/>
        <item x="2"/>
        <item x="1"/>
        <item t="default"/>
      </items>
    </pivotField>
  </pivotFields>
  <rowFields count="1">
    <field x="0"/>
  </rowFields>
  <rowItems count="2">
    <i>
      <x v="31"/>
    </i>
    <i t="grand">
      <x/>
    </i>
  </rowItems>
  <colItems count="1">
    <i/>
  </colItems>
  <dataFields count="1">
    <dataField name="Max of Discount" fld="4" subtotal="max" baseField="0" baseItem="0"/>
  </dataFields>
  <pivotTableStyleInfo name="PivotStyleLight16" showRowHeaders="1" showColHeaders="1" showRowStripes="0" showColStripes="0" showLastColumn="1"/>
  <filters count="1">
    <filter fld="0"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4" cacheId="3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3:B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Max of Reviewspos" fld="1" subtotal="max"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ating].&amp;[Average]"/>
      </members>
    </pivotHierarchy>
    <pivotHierarchy multipleItemSelectionAllowed="1" dragToData="1"/>
    <pivotHierarchy dragToRow="0" dragToCol="0" dragToPage="0" dragToData="1"/>
    <pivotHierarchy dragToRow="0" dragToCol="0" dragToPage="0" dragToData="1"/>
    <pivotHierarchy dragToData="1"/>
    <pivotHierarchy dragToData="1" caption="Max of Reviewspo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M$11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7" cacheId="3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1">
  <location ref="A3:B9" firstHeaderRow="1" firstDataRow="1" firstDataCol="1"/>
  <pivotFields count="3">
    <pivotField axis="axisRow" allDrilled="1" showAll="0" measureFilter="1" dataSourceSort="1" defaultAttributeDrillState="1">
      <items count="6">
        <item x="0"/>
        <item x="1"/>
        <item x="2"/>
        <item x="3"/>
        <item x="4"/>
        <item t="default"/>
      </items>
    </pivotField>
    <pivotField allDrilled="1" subtotalTop="0" showAll="0" dataSourceSort="1" defaultSubtotal="0" defaultAttributeDrillState="1"/>
    <pivotField dataField="1" subtotalTop="0" showAll="0" defaultSubtotal="0"/>
  </pivotFields>
  <rowFields count="1">
    <field x="0"/>
  </rowFields>
  <rowItems count="6">
    <i>
      <x/>
    </i>
    <i>
      <x v="1"/>
    </i>
    <i>
      <x v="2"/>
    </i>
    <i>
      <x v="3"/>
    </i>
    <i>
      <x v="4"/>
    </i>
    <i t="grand">
      <x/>
    </i>
  </rowItems>
  <colItems count="1">
    <i/>
  </colItems>
  <dataFields count="1">
    <dataField name="Average of Correct-Ratings" fld="2" subtotal="average" baseField="0" baseItem="2"/>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ating].&amp;[Average]"/>
      </members>
    </pivotHierarchy>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Correct-Ratings"/>
    <pivotHierarchy dragToData="1"/>
    <pivotHierarchy dragToData="1" caption="Average of Correct-Ratings"/>
    <pivotHierarchy dragToData="1"/>
    <pivotHierarchy dragToData="1" caption="Count of Correct-Ratings"/>
    <pivotHierarchy dragToData="1"/>
  </pivotHierarchies>
  <pivotTableStyleInfo name="PivotStyleLight16" showRowHeaders="1" showColHeaders="1" showRowStripes="0" showColStripes="0" showLastColumn="1"/>
  <filters count="1">
    <filter fld="0" type="count" id="1" iMeasureHier="19">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M$11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8" cacheId="2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B9" firstHeaderRow="1" firstDataRow="1" firstDataCol="1"/>
  <pivotFields count="3">
    <pivotField axis="axisRow" allDrilled="1" showAll="0" measureFilter="1" dataSourceSort="1" defaultAttributeDrillState="1">
      <items count="6">
        <item x="0"/>
        <item x="1"/>
        <item x="2"/>
        <item x="3"/>
        <item x="4"/>
        <item t="default"/>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Max of Correct-Ratings" fld="1" subtotal="max"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ating].&amp;[Average]"/>
      </members>
    </pivotHierarchy>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Correct-Rating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9">
      <autoFilter ref="A1">
        <filterColumn colId="0">
          <top10 top="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M$11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9" cacheId="2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location ref="A3:C8" firstHeaderRow="1" firstDataRow="2" firstDataCol="1"/>
  <pivotFields count="4">
    <pivotField allDrilled="1" showAll="0" measureFilter="1" dataSourceSort="1" defaultAttributeDrillState="1">
      <items count="11">
        <item x="0"/>
        <item x="1"/>
        <item x="2"/>
        <item x="3"/>
        <item x="4"/>
        <item x="5"/>
        <item x="6"/>
        <item x="7"/>
        <item x="8"/>
        <item x="9"/>
        <item t="default"/>
      </items>
    </pivotField>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s="1" x="0"/>
        <item x="1"/>
        <item x="2"/>
      </items>
    </pivotField>
  </pivotFields>
  <rowFields count="1">
    <field x="2"/>
  </rowFields>
  <rowItems count="4">
    <i>
      <x/>
    </i>
    <i>
      <x v="1"/>
    </i>
    <i>
      <x v="2"/>
    </i>
    <i t="grand">
      <x/>
    </i>
  </rowItems>
  <colFields count="1">
    <field x="3"/>
  </colFields>
  <colItems count="2">
    <i>
      <x/>
    </i>
    <i t="grand">
      <x/>
    </i>
  </colItems>
  <dataFields count="1">
    <dataField name="Max of Reviewspos" fld="1" subtotal="max"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3" series="1">
      <pivotArea type="data" outline="0" fieldPosition="0">
        <references count="2">
          <reference field="4294967294" count="1" selected="0">
            <x v="0"/>
          </reference>
          <reference field="3" count="1" selected="0">
            <x v="0"/>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caption="Max of Reviewspos"/>
    <pivotHierarchy dragToData="1"/>
    <pivotHierarchy dragToData="1"/>
    <pivotHierarchy dragToData="1"/>
    <pivotHierarchy dragToData="1"/>
    <pivotHierarchy dragToData="1" caption="Average of Correct-Ratings"/>
    <pivotHierarchy dragToData="1" caption="Max of Discount"/>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1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M$11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22"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 firstHeaderRow="1" firstDataRow="1" firstDataCol="1"/>
  <pivotFields count="12">
    <pivotField axis="axisRow" showAll="0" measureFilter="1">
      <items count="110">
        <item x="21"/>
        <item x="10"/>
        <item x="22"/>
        <item x="36"/>
        <item x="12"/>
        <item x="46"/>
        <item x="63"/>
        <item x="38"/>
        <item x="14"/>
        <item x="102"/>
        <item x="65"/>
        <item x="32"/>
        <item x="64"/>
        <item x="84"/>
        <item x="67"/>
        <item x="78"/>
        <item x="41"/>
        <item x="50"/>
        <item x="16"/>
        <item x="79"/>
        <item x="39"/>
        <item x="75"/>
        <item x="7"/>
        <item x="70"/>
        <item x="87"/>
        <item x="49"/>
        <item x="29"/>
        <item x="19"/>
        <item x="11"/>
        <item x="82"/>
        <item x="54"/>
        <item x="108"/>
        <item x="99"/>
        <item x="60"/>
        <item x="85"/>
        <item x="53"/>
        <item x="61"/>
        <item x="105"/>
        <item x="48"/>
        <item x="74"/>
        <item x="2"/>
        <item x="52"/>
        <item x="80"/>
        <item x="90"/>
        <item x="4"/>
        <item x="95"/>
        <item x="57"/>
        <item x="96"/>
        <item x="71"/>
        <item x="88"/>
        <item x="106"/>
        <item x="83"/>
        <item x="1"/>
        <item x="94"/>
        <item x="77"/>
        <item x="103"/>
        <item x="34"/>
        <item x="5"/>
        <item x="55"/>
        <item x="15"/>
        <item x="25"/>
        <item x="23"/>
        <item x="31"/>
        <item x="35"/>
        <item x="47"/>
        <item x="6"/>
        <item x="42"/>
        <item x="27"/>
        <item x="0"/>
        <item x="20"/>
        <item x="8"/>
        <item x="93"/>
        <item x="26"/>
        <item x="33"/>
        <item x="68"/>
        <item x="18"/>
        <item x="44"/>
        <item x="30"/>
        <item x="76"/>
        <item x="62"/>
        <item x="28"/>
        <item x="100"/>
        <item x="81"/>
        <item x="97"/>
        <item x="40"/>
        <item x="104"/>
        <item x="89"/>
        <item x="3"/>
        <item x="58"/>
        <item x="107"/>
        <item x="9"/>
        <item x="17"/>
        <item x="73"/>
        <item x="37"/>
        <item x="101"/>
        <item x="24"/>
        <item x="72"/>
        <item x="86"/>
        <item x="98"/>
        <item x="92"/>
        <item x="91"/>
        <item x="45"/>
        <item x="69"/>
        <item x="59"/>
        <item x="56"/>
        <item x="66"/>
        <item x="51"/>
        <item x="13"/>
        <item x="43"/>
        <item t="default"/>
      </items>
    </pivotField>
    <pivotField dataField="1" showAll="0"/>
    <pivotField numFmtId="2" showAll="0"/>
    <pivotField numFmtId="9" showAll="0"/>
    <pivotField numFmtId="10" showAll="0"/>
    <pivotField showAll="0"/>
    <pivotField showAll="0"/>
    <pivotField showAll="0"/>
    <pivotField showAll="0"/>
    <pivotField numFmtId="165" showAll="0"/>
    <pivotField showAll="0">
      <items count="4">
        <item x="1"/>
        <item x="0"/>
        <item x="2"/>
        <item t="default"/>
      </items>
    </pivotField>
    <pivotField showAll="0">
      <items count="4">
        <item x="0"/>
        <item x="2"/>
        <item x="1"/>
        <item t="default"/>
      </items>
    </pivotField>
  </pivotFields>
  <rowFields count="1">
    <field x="0"/>
  </rowFields>
  <rowItems count="2">
    <i>
      <x v="16"/>
    </i>
    <i t="grand">
      <x/>
    </i>
  </rowItems>
  <colItems count="1">
    <i/>
  </colItems>
  <dataFields count="1">
    <dataField name="Max of Current price" fld="1" subtotal="max" baseField="0" baseItem="0"/>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PivotTable23"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 firstHeaderRow="1" firstDataRow="1" firstDataCol="1"/>
  <pivotFields count="12">
    <pivotField axis="axisRow" showAll="0" measureFilter="1">
      <items count="110">
        <item x="21"/>
        <item x="10"/>
        <item x="22"/>
        <item x="36"/>
        <item x="12"/>
        <item x="46"/>
        <item x="63"/>
        <item x="38"/>
        <item x="14"/>
        <item x="102"/>
        <item x="65"/>
        <item x="32"/>
        <item x="64"/>
        <item x="84"/>
        <item x="67"/>
        <item x="78"/>
        <item x="41"/>
        <item x="50"/>
        <item x="16"/>
        <item x="79"/>
        <item x="39"/>
        <item x="75"/>
        <item x="7"/>
        <item x="70"/>
        <item x="87"/>
        <item x="49"/>
        <item x="29"/>
        <item x="19"/>
        <item x="11"/>
        <item x="82"/>
        <item x="54"/>
        <item x="108"/>
        <item x="99"/>
        <item x="60"/>
        <item x="85"/>
        <item x="53"/>
        <item x="61"/>
        <item x="105"/>
        <item x="48"/>
        <item x="74"/>
        <item x="2"/>
        <item x="52"/>
        <item x="80"/>
        <item x="90"/>
        <item x="4"/>
        <item x="95"/>
        <item x="57"/>
        <item x="96"/>
        <item x="71"/>
        <item x="88"/>
        <item x="106"/>
        <item x="83"/>
        <item x="1"/>
        <item x="94"/>
        <item x="77"/>
        <item x="103"/>
        <item x="34"/>
        <item x="5"/>
        <item x="55"/>
        <item x="15"/>
        <item x="25"/>
        <item x="23"/>
        <item x="31"/>
        <item x="35"/>
        <item x="47"/>
        <item x="6"/>
        <item x="42"/>
        <item x="27"/>
        <item x="0"/>
        <item x="20"/>
        <item x="8"/>
        <item x="93"/>
        <item x="26"/>
        <item x="33"/>
        <item x="68"/>
        <item x="18"/>
        <item x="44"/>
        <item x="30"/>
        <item x="76"/>
        <item x="62"/>
        <item x="28"/>
        <item x="100"/>
        <item x="81"/>
        <item x="97"/>
        <item x="40"/>
        <item x="104"/>
        <item x="89"/>
        <item x="3"/>
        <item x="58"/>
        <item x="107"/>
        <item x="9"/>
        <item x="17"/>
        <item x="73"/>
        <item x="37"/>
        <item x="101"/>
        <item x="24"/>
        <item x="72"/>
        <item x="86"/>
        <item x="98"/>
        <item x="92"/>
        <item x="91"/>
        <item x="45"/>
        <item x="69"/>
        <item x="59"/>
        <item x="56"/>
        <item x="66"/>
        <item x="51"/>
        <item x="13"/>
        <item x="43"/>
        <item t="default"/>
      </items>
    </pivotField>
    <pivotField dataField="1" showAll="0"/>
    <pivotField numFmtId="2" showAll="0"/>
    <pivotField numFmtId="9" showAll="0"/>
    <pivotField numFmtId="10" showAll="0"/>
    <pivotField showAll="0"/>
    <pivotField showAll="0"/>
    <pivotField showAll="0"/>
    <pivotField showAll="0"/>
    <pivotField numFmtId="165" showAll="0"/>
    <pivotField showAll="0">
      <items count="4">
        <item x="1"/>
        <item x="0"/>
        <item x="2"/>
        <item t="default"/>
      </items>
    </pivotField>
    <pivotField showAll="0">
      <items count="4">
        <item x="0"/>
        <item x="2"/>
        <item x="1"/>
        <item t="default"/>
      </items>
    </pivotField>
  </pivotFields>
  <rowFields count="1">
    <field x="0"/>
  </rowFields>
  <rowItems count="2">
    <i>
      <x v="20"/>
    </i>
    <i t="grand">
      <x/>
    </i>
  </rowItems>
  <colItems count="1">
    <i/>
  </colItems>
  <dataFields count="1">
    <dataField name="Max of Current price" fld="1" subtotal="max" baseField="0" baseItem="0"/>
  </dataFields>
  <pivotTableStyleInfo name="PivotStyleLight16" showRowHeaders="1" showColHeaders="1" showRowStripes="0" showColStripes="0" showLastColumn="1"/>
  <filters count="1">
    <filter fld="0" type="count" evalOrder="-1" id="1"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PivotTable26"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12">
    <pivotField showAll="0"/>
    <pivotField showAll="0"/>
    <pivotField numFmtId="2" showAll="0"/>
    <pivotField numFmtId="9" showAll="0"/>
    <pivotField numFmtId="10" showAll="0"/>
    <pivotField showAll="0"/>
    <pivotField dataField="1" showAll="0"/>
    <pivotField showAll="0"/>
    <pivotField showAll="0"/>
    <pivotField numFmtId="165" showAll="0"/>
    <pivotField axis="axisRow" showAll="0">
      <items count="4">
        <item x="1"/>
        <item x="0"/>
        <item x="2"/>
        <item t="default"/>
      </items>
    </pivotField>
    <pivotField showAll="0">
      <items count="4">
        <item x="0"/>
        <item x="2"/>
        <item x="1"/>
        <item t="default"/>
      </items>
    </pivotField>
  </pivotFields>
  <rowFields count="1">
    <field x="10"/>
  </rowFields>
  <rowItems count="4">
    <i>
      <x/>
    </i>
    <i>
      <x v="1"/>
    </i>
    <i>
      <x v="2"/>
    </i>
    <i t="grand">
      <x/>
    </i>
  </rowItems>
  <colItems count="1">
    <i/>
  </colItems>
  <dataFields count="1">
    <dataField name="Average of  Reviewspos" fld="6" subtotal="average"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28"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7" firstHeaderRow="1" firstDataRow="1" firstDataCol="1"/>
  <pivotFields count="12">
    <pivotField showAll="0"/>
    <pivotField showAll="0"/>
    <pivotField numFmtId="2" showAll="0"/>
    <pivotField numFmtId="9" showAll="0"/>
    <pivotField numFmtId="10" showAll="0"/>
    <pivotField showAll="0"/>
    <pivotField dataField="1" showAll="0"/>
    <pivotField showAll="0"/>
    <pivotField showAll="0"/>
    <pivotField numFmtId="165" showAll="0"/>
    <pivotField showAll="0">
      <items count="4">
        <item x="1"/>
        <item x="0"/>
        <item x="2"/>
        <item t="default"/>
      </items>
    </pivotField>
    <pivotField axis="axisRow" showAll="0">
      <items count="4">
        <item x="0"/>
        <item x="2"/>
        <item x="1"/>
        <item t="default"/>
      </items>
    </pivotField>
  </pivotFields>
  <rowFields count="1">
    <field x="11"/>
  </rowFields>
  <rowItems count="4">
    <i>
      <x/>
    </i>
    <i>
      <x v="1"/>
    </i>
    <i>
      <x v="2"/>
    </i>
    <i t="grand">
      <x/>
    </i>
  </rowItems>
  <colItems count="1">
    <i/>
  </colItems>
  <dataFields count="1">
    <dataField name="Average of  Reviewspos" fld="6" subtotal="average" baseField="11" baseItem="0"/>
  </dataFields>
  <chartFormats count="3">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29"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2">
    <pivotField showAll="0"/>
    <pivotField showAll="0"/>
    <pivotField numFmtId="2" showAll="0"/>
    <pivotField numFmtId="9" showAll="0"/>
    <pivotField numFmtId="10" showAll="0"/>
    <pivotField showAll="0"/>
    <pivotField dataField="1" showAll="0"/>
    <pivotField showAll="0"/>
    <pivotField showAll="0"/>
    <pivotField numFmtId="165" showAll="0"/>
    <pivotField showAll="0">
      <items count="4">
        <item x="1"/>
        <item x="0"/>
        <item x="2"/>
        <item t="default"/>
      </items>
    </pivotField>
    <pivotField showAll="0">
      <items count="4">
        <item x="0"/>
        <item x="2"/>
        <item x="1"/>
        <item t="default"/>
      </items>
    </pivotField>
  </pivotFields>
  <rowItems count="1">
    <i/>
  </rowItems>
  <colItems count="1">
    <i/>
  </colItems>
  <dataFields count="1">
    <dataField name="Sum of  Reviewspo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50FE7CC-8DF9-4C5F-BF6F-D4807DEA44FB}" name="PivotTable1"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12">
    <pivotField axis="axisRow" showAll="0" measureFilter="1">
      <items count="110">
        <item x="21"/>
        <item x="10"/>
        <item x="22"/>
        <item x="36"/>
        <item x="12"/>
        <item x="46"/>
        <item x="63"/>
        <item x="38"/>
        <item x="14"/>
        <item x="102"/>
        <item x="65"/>
        <item x="32"/>
        <item x="64"/>
        <item x="84"/>
        <item x="67"/>
        <item x="78"/>
        <item x="41"/>
        <item x="50"/>
        <item x="16"/>
        <item x="79"/>
        <item x="39"/>
        <item x="75"/>
        <item x="7"/>
        <item x="70"/>
        <item x="87"/>
        <item x="49"/>
        <item x="29"/>
        <item x="19"/>
        <item x="11"/>
        <item x="82"/>
        <item x="54"/>
        <item x="108"/>
        <item x="99"/>
        <item x="60"/>
        <item x="85"/>
        <item x="53"/>
        <item x="61"/>
        <item x="105"/>
        <item x="48"/>
        <item x="74"/>
        <item x="2"/>
        <item x="52"/>
        <item x="80"/>
        <item x="90"/>
        <item x="4"/>
        <item x="95"/>
        <item x="57"/>
        <item x="96"/>
        <item x="71"/>
        <item x="88"/>
        <item x="106"/>
        <item x="83"/>
        <item x="1"/>
        <item x="94"/>
        <item x="77"/>
        <item x="103"/>
        <item x="34"/>
        <item x="5"/>
        <item x="55"/>
        <item x="15"/>
        <item x="25"/>
        <item x="23"/>
        <item x="31"/>
        <item x="35"/>
        <item x="47"/>
        <item x="6"/>
        <item x="42"/>
        <item x="27"/>
        <item x="0"/>
        <item x="20"/>
        <item x="8"/>
        <item x="93"/>
        <item x="26"/>
        <item x="33"/>
        <item x="68"/>
        <item x="18"/>
        <item x="44"/>
        <item x="30"/>
        <item x="76"/>
        <item x="62"/>
        <item x="28"/>
        <item x="100"/>
        <item x="81"/>
        <item x="97"/>
        <item x="40"/>
        <item x="104"/>
        <item x="89"/>
        <item x="3"/>
        <item x="58"/>
        <item x="107"/>
        <item x="9"/>
        <item x="17"/>
        <item x="73"/>
        <item x="37"/>
        <item x="101"/>
        <item x="24"/>
        <item x="72"/>
        <item x="86"/>
        <item x="98"/>
        <item x="92"/>
        <item x="91"/>
        <item x="45"/>
        <item x="69"/>
        <item x="59"/>
        <item x="56"/>
        <item x="66"/>
        <item x="51"/>
        <item x="13"/>
        <item x="43"/>
        <item t="default"/>
      </items>
    </pivotField>
    <pivotField showAll="0"/>
    <pivotField numFmtId="2" showAll="0"/>
    <pivotField numFmtId="9" showAll="0"/>
    <pivotField numFmtId="10" showAll="0"/>
    <pivotField showAll="0"/>
    <pivotField showAll="0"/>
    <pivotField showAll="0">
      <items count="24">
        <item x="22"/>
        <item x="21"/>
        <item x="20"/>
        <item x="19"/>
        <item x="18"/>
        <item x="17"/>
        <item x="16"/>
        <item x="15"/>
        <item x="14"/>
        <item x="13"/>
        <item x="12"/>
        <item x="11"/>
        <item x="10"/>
        <item x="9"/>
        <item x="8"/>
        <item x="7"/>
        <item x="6"/>
        <item x="5"/>
        <item x="4"/>
        <item x="3"/>
        <item x="2"/>
        <item x="1"/>
        <item x="0"/>
        <item t="default"/>
      </items>
    </pivotField>
    <pivotField dataField="1" showAll="0"/>
    <pivotField numFmtId="165" showAll="0"/>
    <pivotField showAll="0">
      <items count="4">
        <item x="1"/>
        <item x="0"/>
        <item x="2"/>
        <item t="default"/>
      </items>
    </pivotField>
    <pivotField showAll="0">
      <items count="4">
        <item x="0"/>
        <item x="2"/>
        <item x="1"/>
        <item t="default"/>
      </items>
    </pivotField>
  </pivotFields>
  <rowFields count="1">
    <field x="0"/>
  </rowFields>
  <rowItems count="11">
    <i>
      <x v="22"/>
    </i>
    <i>
      <x v="40"/>
    </i>
    <i>
      <x v="44"/>
    </i>
    <i>
      <x v="52"/>
    </i>
    <i>
      <x v="57"/>
    </i>
    <i>
      <x v="65"/>
    </i>
    <i>
      <x v="68"/>
    </i>
    <i>
      <x v="70"/>
    </i>
    <i>
      <x v="87"/>
    </i>
    <i>
      <x v="90"/>
    </i>
    <i t="grand">
      <x/>
    </i>
  </rowItems>
  <colItems count="1">
    <i/>
  </colItems>
  <dataFields count="1">
    <dataField name="Sum of C-Rating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AD6EAAF-0098-4FF7-9E99-C58656F697EA}" name="PivotTable2"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4" firstHeaderRow="1" firstDataRow="1" firstDataCol="1"/>
  <pivotFields count="12">
    <pivotField axis="axisRow" showAll="0" measureFilter="1">
      <items count="110">
        <item x="21"/>
        <item x="10"/>
        <item x="22"/>
        <item x="36"/>
        <item x="12"/>
        <item x="46"/>
        <item x="63"/>
        <item x="38"/>
        <item x="14"/>
        <item x="102"/>
        <item x="65"/>
        <item x="32"/>
        <item x="64"/>
        <item x="84"/>
        <item x="67"/>
        <item x="78"/>
        <item x="41"/>
        <item x="50"/>
        <item x="16"/>
        <item x="79"/>
        <item x="39"/>
        <item x="75"/>
        <item x="7"/>
        <item x="70"/>
        <item x="87"/>
        <item x="49"/>
        <item x="29"/>
        <item x="19"/>
        <item x="11"/>
        <item x="82"/>
        <item x="54"/>
        <item x="108"/>
        <item x="99"/>
        <item x="60"/>
        <item x="85"/>
        <item x="53"/>
        <item x="61"/>
        <item x="105"/>
        <item x="48"/>
        <item x="74"/>
        <item x="2"/>
        <item x="52"/>
        <item x="80"/>
        <item x="90"/>
        <item x="4"/>
        <item x="95"/>
        <item x="57"/>
        <item x="96"/>
        <item x="71"/>
        <item x="88"/>
        <item x="106"/>
        <item x="83"/>
        <item x="1"/>
        <item x="94"/>
        <item x="77"/>
        <item x="103"/>
        <item x="34"/>
        <item x="5"/>
        <item x="55"/>
        <item x="15"/>
        <item x="25"/>
        <item x="23"/>
        <item x="31"/>
        <item x="35"/>
        <item x="47"/>
        <item x="6"/>
        <item x="42"/>
        <item x="27"/>
        <item x="0"/>
        <item x="20"/>
        <item x="8"/>
        <item x="93"/>
        <item x="26"/>
        <item x="33"/>
        <item x="68"/>
        <item x="18"/>
        <item x="44"/>
        <item x="30"/>
        <item x="76"/>
        <item x="62"/>
        <item x="28"/>
        <item x="100"/>
        <item x="81"/>
        <item x="97"/>
        <item x="40"/>
        <item x="104"/>
        <item x="89"/>
        <item x="3"/>
        <item x="58"/>
        <item x="107"/>
        <item x="9"/>
        <item x="17"/>
        <item x="73"/>
        <item x="37"/>
        <item x="101"/>
        <item x="24"/>
        <item x="72"/>
        <item x="86"/>
        <item x="98"/>
        <item x="92"/>
        <item x="91"/>
        <item x="45"/>
        <item x="69"/>
        <item x="59"/>
        <item x="56"/>
        <item x="66"/>
        <item x="51"/>
        <item x="13"/>
        <item x="43"/>
        <item t="default"/>
      </items>
    </pivotField>
    <pivotField showAll="0"/>
    <pivotField numFmtId="2" showAll="0"/>
    <pivotField numFmtId="9" showAll="0"/>
    <pivotField numFmtId="10" showAll="0"/>
    <pivotField showAll="0"/>
    <pivotField dataField="1" showAll="0"/>
    <pivotField showAll="0"/>
    <pivotField showAll="0"/>
    <pivotField numFmtId="165" showAll="0"/>
    <pivotField showAll="0">
      <items count="4">
        <item x="1"/>
        <item x="0"/>
        <item x="2"/>
        <item t="default"/>
      </items>
    </pivotField>
    <pivotField showAll="0">
      <items count="4">
        <item x="0"/>
        <item x="2"/>
        <item x="1"/>
        <item t="default"/>
      </items>
    </pivotField>
  </pivotFields>
  <rowFields count="1">
    <field x="0"/>
  </rowFields>
  <rowItems count="11">
    <i>
      <x v="1"/>
    </i>
    <i>
      <x v="5"/>
    </i>
    <i>
      <x v="8"/>
    </i>
    <i>
      <x v="18"/>
    </i>
    <i>
      <x v="27"/>
    </i>
    <i>
      <x v="38"/>
    </i>
    <i>
      <x v="59"/>
    </i>
    <i>
      <x v="91"/>
    </i>
    <i>
      <x v="95"/>
    </i>
    <i>
      <x v="101"/>
    </i>
    <i t="grand">
      <x/>
    </i>
  </rowItems>
  <colItems count="1">
    <i/>
  </colItems>
  <dataFields count="1">
    <dataField name="Max of  Reviewspos" fld="6" subtotal="max"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s" xr10:uid="{00000000-0013-0000-FFFF-FFFF02000000}" sourceName="[Range].[Discounts]">
  <pivotTables>
    <pivotTable tabId="15" name="PivotTable14"/>
    <pivotTable tabId="19" name="PivotTable18"/>
    <pivotTable tabId="20" name="PivotTable19"/>
    <pivotTable tabId="18" name="PivotTable17"/>
  </pivotTables>
  <data>
    <olap pivotCacheId="1643931728">
      <levels count="2">
        <level uniqueName="[Range].[Discounts].[(All)]" sourceCaption="(All)" count="0"/>
        <level uniqueName="[Range].[Discounts].[Discounts]" sourceCaption="Discounts" count="3">
          <ranges>
            <range startItem="0">
              <i n="[Range].[Discounts].&amp;[high]" c="high"/>
              <i n="[Range].[Discounts].&amp;[Low]" c="Low"/>
              <i n="[Range].[Discounts].&amp;[Medium]" c="Medium"/>
            </range>
          </ranges>
        </level>
      </levels>
      <selections count="1">
        <selection n="[Range].[Discount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1" xr10:uid="{00000000-0013-0000-FFFF-FFFF03000000}" sourceName="Rating">
  <pivotTables>
    <pivotTable tabId="8" name="PivotTable6"/>
  </pivotTables>
  <data>
    <tabular pivotCacheId="1617963331">
      <items count="4">
        <i x="1" s="1"/>
        <i x="0"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2" xr10:uid="{00000000-0013-0000-FFFF-FFFF04000000}" sourceName="Rating">
  <pivotTables>
    <pivotTable tabId="25" name="PivotTable28"/>
    <pivotTable tabId="22" name="PivotTable23"/>
    <pivotTable tabId="11" name="PivotTable11"/>
    <pivotTable tabId="13" name="PivotTable12"/>
    <pivotTable tabId="21" name="PivotTable22"/>
    <pivotTable tabId="10" name="PivotTable10"/>
    <pivotTable tabId="23" name="PivotTable26"/>
    <pivotTable tabId="27" name="PivotTable29"/>
    <pivotTable tabId="28" name="PivotTable1"/>
    <pivotTable tabId="29" name="PivotTable2"/>
  </pivotTables>
  <data>
    <tabular pivotCacheId="104316059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s1" xr10:uid="{00000000-0013-0000-FFFF-FFFF05000000}" sourceName="Discounts">
  <pivotTables>
    <pivotTable tabId="22" name="PivotTable23"/>
    <pivotTable tabId="25" name="PivotTable28"/>
    <pivotTable tabId="11" name="PivotTable11"/>
    <pivotTable tabId="13" name="PivotTable12"/>
    <pivotTable tabId="21" name="PivotTable22"/>
    <pivotTable tabId="10" name="PivotTable10"/>
    <pivotTable tabId="23" name="PivotTable26"/>
    <pivotTable tabId="27" name="PivotTable29"/>
    <pivotTable tabId="28" name="PivotTable1"/>
    <pivotTable tabId="29" name="PivotTable2"/>
  </pivotTables>
  <data>
    <tabular pivotCacheId="104316059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5D9E573A-5394-464D-AE1F-6C30120F397C}" sourceName="[Range].[Rating]">
  <data>
    <olap pivotCacheId="1643931728">
      <levels count="2">
        <level uniqueName="[Range].[Rating].[(All)]" sourceCaption="(All)" count="0"/>
        <level uniqueName="[Range].[Rating].[Rating]" sourceCaption="Rating" count="3">
          <ranges>
            <range startItem="0">
              <i n="[Range].[Rating].&amp;[Average]" c="Average"/>
              <i n="[Range].[Rating].&amp;[Excellent]" c="Excellent"/>
              <i n="[Range].[Rating].&amp;[poor]" c="poor"/>
            </range>
          </ranges>
        </level>
      </levels>
      <selections count="1">
        <selection n="[Range].[Rating].&amp;[Averag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2" xr10:uid="{00000000-0014-0000-FFFF-FFFF01000000}" cache="Slicer_Rating1" caption="Rating"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1" xr10:uid="{26EB03B2-E913-46FA-8547-15C865E5BAE7}" cache="Slicer_Rating2" caption="Rating" rowHeight="234950"/>
  <slicer name="Discounts" xr10:uid="{55C14E78-3CFF-4789-9038-16C3B8A071F6}" cache="Slicer_Discounts1" caption="Discount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B288A9AF-F676-4D88-A90C-81325958C31E}" cache="Slicer_Rating" caption="Rating"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s 2" xr10:uid="{00000000-0014-0000-FFFF-FFFF04000000}" cache="Slicer_Discounts" caption="Discounts"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3" xr10:uid="{A578A9F1-DE27-4CBA-A0C2-04E53565D1A7}" cache="Slicer_Rating2" caption="Rating"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4" xr10:uid="{8B4904CB-71B0-4189-8E28-E6CB61D43E62}" cache="Slicer_Rating2" caption="Rating" rowHeight="234950"/>
  <slicer name="Discounts 5" xr10:uid="{E635F880-3562-4C3C-8156-4E3B58E39A91}" cache="Slicer_Discounts1" caption="Discount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bin"/><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8.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6"/>
  <sheetViews>
    <sheetView workbookViewId="0">
      <pane ySplit="1" topLeftCell="A2" activePane="bottomLeft" state="frozen"/>
      <selection pane="bottomLeft" activeCell="A19" sqref="A19"/>
    </sheetView>
  </sheetViews>
  <sheetFormatPr defaultRowHeight="14.4" x14ac:dyDescent="0.3"/>
  <cols>
    <col min="1" max="1" width="67.6640625" customWidth="1"/>
    <col min="2" max="3" width="18.33203125" bestFit="1" customWidth="1"/>
    <col min="4" max="4" width="8.109375" bestFit="1" customWidth="1"/>
    <col min="5" max="5" width="6.88671875" bestFit="1" customWidth="1"/>
    <col min="6" max="6" width="10.44140625" bestFit="1" customWidth="1"/>
  </cols>
  <sheetData>
    <row r="1" spans="1:6" s="2" customFormat="1" x14ac:dyDescent="0.3">
      <c r="A1" s="2" t="s">
        <v>0</v>
      </c>
      <c r="B1" s="2" t="s">
        <v>1</v>
      </c>
      <c r="C1" s="2" t="s">
        <v>2</v>
      </c>
      <c r="D1" s="2" t="s">
        <v>3</v>
      </c>
      <c r="E1" s="2" t="s">
        <v>4</v>
      </c>
      <c r="F1" s="2" t="s">
        <v>5</v>
      </c>
    </row>
    <row r="2" spans="1:6" x14ac:dyDescent="0.3">
      <c r="A2" t="s">
        <v>316</v>
      </c>
      <c r="B2" t="s">
        <v>155</v>
      </c>
      <c r="C2" t="s">
        <v>317</v>
      </c>
      <c r="D2" s="1">
        <v>0.64</v>
      </c>
    </row>
    <row r="3" spans="1:6" x14ac:dyDescent="0.3">
      <c r="A3" t="s">
        <v>154</v>
      </c>
      <c r="B3" t="s">
        <v>155</v>
      </c>
      <c r="C3" t="s">
        <v>156</v>
      </c>
      <c r="D3" s="1">
        <v>0.61</v>
      </c>
    </row>
    <row r="4" spans="1:6" x14ac:dyDescent="0.3">
      <c r="A4" t="s">
        <v>35</v>
      </c>
      <c r="B4" t="s">
        <v>36</v>
      </c>
      <c r="C4" t="s">
        <v>37</v>
      </c>
      <c r="D4" s="1">
        <v>0.55000000000000004</v>
      </c>
      <c r="E4">
        <v>-5</v>
      </c>
      <c r="F4" t="s">
        <v>25</v>
      </c>
    </row>
    <row r="5" spans="1:6" x14ac:dyDescent="0.3">
      <c r="A5" t="s">
        <v>170</v>
      </c>
      <c r="B5" t="s">
        <v>180</v>
      </c>
      <c r="C5" t="s">
        <v>181</v>
      </c>
      <c r="D5" s="1">
        <v>0.55000000000000004</v>
      </c>
    </row>
    <row r="6" spans="1:6" x14ac:dyDescent="0.3">
      <c r="A6" t="s">
        <v>190</v>
      </c>
      <c r="B6" t="s">
        <v>191</v>
      </c>
      <c r="C6" t="s">
        <v>192</v>
      </c>
      <c r="D6" s="1">
        <v>0.55000000000000004</v>
      </c>
      <c r="E6">
        <v>-13</v>
      </c>
      <c r="F6" t="s">
        <v>193</v>
      </c>
    </row>
    <row r="7" spans="1:6" x14ac:dyDescent="0.3">
      <c r="A7" t="s">
        <v>85</v>
      </c>
      <c r="B7" t="s">
        <v>86</v>
      </c>
      <c r="C7" t="s">
        <v>87</v>
      </c>
      <c r="D7" s="1">
        <v>0.54</v>
      </c>
      <c r="E7">
        <v>-7</v>
      </c>
      <c r="F7" t="s">
        <v>88</v>
      </c>
    </row>
    <row r="8" spans="1:6" x14ac:dyDescent="0.3">
      <c r="A8" t="s">
        <v>186</v>
      </c>
      <c r="B8" t="s">
        <v>187</v>
      </c>
      <c r="C8" t="s">
        <v>188</v>
      </c>
      <c r="D8" s="1">
        <v>0.54</v>
      </c>
      <c r="E8">
        <v>-10</v>
      </c>
      <c r="F8" t="s">
        <v>189</v>
      </c>
    </row>
    <row r="9" spans="1:6" x14ac:dyDescent="0.3">
      <c r="A9" t="s">
        <v>71</v>
      </c>
      <c r="B9" t="s">
        <v>72</v>
      </c>
      <c r="C9" t="s">
        <v>73</v>
      </c>
      <c r="D9" s="1">
        <v>0.53</v>
      </c>
      <c r="E9">
        <v>-13</v>
      </c>
      <c r="F9" t="s">
        <v>74</v>
      </c>
    </row>
    <row r="10" spans="1:6" x14ac:dyDescent="0.3">
      <c r="A10" t="s">
        <v>120</v>
      </c>
      <c r="B10" t="s">
        <v>121</v>
      </c>
      <c r="C10" t="s">
        <v>62</v>
      </c>
      <c r="D10" s="1">
        <v>0.53</v>
      </c>
      <c r="E10">
        <v>-2</v>
      </c>
      <c r="F10" t="s">
        <v>59</v>
      </c>
    </row>
    <row r="11" spans="1:6" x14ac:dyDescent="0.3">
      <c r="A11" t="s">
        <v>102</v>
      </c>
      <c r="B11" t="s">
        <v>103</v>
      </c>
      <c r="C11" t="s">
        <v>104</v>
      </c>
      <c r="D11" s="1">
        <v>0.52</v>
      </c>
      <c r="E11">
        <v>-9</v>
      </c>
      <c r="F11" t="s">
        <v>88</v>
      </c>
    </row>
    <row r="12" spans="1:6" x14ac:dyDescent="0.3">
      <c r="A12" t="s">
        <v>198</v>
      </c>
      <c r="B12" t="s">
        <v>199</v>
      </c>
      <c r="C12" t="s">
        <v>200</v>
      </c>
      <c r="D12" s="1">
        <v>0.52</v>
      </c>
      <c r="E12">
        <v>-15</v>
      </c>
      <c r="F12" t="s">
        <v>201</v>
      </c>
    </row>
    <row r="13" spans="1:6" x14ac:dyDescent="0.3">
      <c r="A13" t="s">
        <v>56</v>
      </c>
      <c r="B13" t="s">
        <v>57</v>
      </c>
      <c r="C13" t="s">
        <v>58</v>
      </c>
      <c r="D13" s="1">
        <v>0.51</v>
      </c>
      <c r="E13">
        <v>-2</v>
      </c>
      <c r="F13" t="s">
        <v>59</v>
      </c>
    </row>
    <row r="14" spans="1:6" x14ac:dyDescent="0.3">
      <c r="A14" t="s">
        <v>134</v>
      </c>
      <c r="B14" t="s">
        <v>135</v>
      </c>
      <c r="C14" t="s">
        <v>136</v>
      </c>
      <c r="D14" s="1">
        <v>0.5</v>
      </c>
    </row>
    <row r="15" spans="1:6" x14ac:dyDescent="0.3">
      <c r="A15" t="s">
        <v>143</v>
      </c>
      <c r="B15" t="s">
        <v>12</v>
      </c>
      <c r="C15" t="s">
        <v>144</v>
      </c>
      <c r="D15" s="1">
        <v>0.5</v>
      </c>
    </row>
    <row r="16" spans="1:6" x14ac:dyDescent="0.3">
      <c r="A16" t="s">
        <v>157</v>
      </c>
      <c r="B16" t="s">
        <v>158</v>
      </c>
      <c r="C16" t="s">
        <v>159</v>
      </c>
      <c r="D16" s="1">
        <v>0.5</v>
      </c>
    </row>
    <row r="17" spans="1:6" x14ac:dyDescent="0.3">
      <c r="A17" t="s">
        <v>209</v>
      </c>
      <c r="B17" t="s">
        <v>210</v>
      </c>
      <c r="C17" t="s">
        <v>144</v>
      </c>
      <c r="D17" s="1">
        <v>0.5</v>
      </c>
      <c r="E17">
        <v>-7</v>
      </c>
      <c r="F17" t="s">
        <v>211</v>
      </c>
    </row>
    <row r="18" spans="1:6" x14ac:dyDescent="0.3">
      <c r="A18" t="s">
        <v>269</v>
      </c>
      <c r="B18" t="s">
        <v>270</v>
      </c>
      <c r="C18" t="s">
        <v>271</v>
      </c>
      <c r="D18" s="1">
        <v>0.5</v>
      </c>
    </row>
    <row r="19" spans="1:6" x14ac:dyDescent="0.3">
      <c r="A19" t="s">
        <v>278</v>
      </c>
      <c r="B19" t="s">
        <v>152</v>
      </c>
      <c r="C19" t="s">
        <v>279</v>
      </c>
      <c r="D19" s="1">
        <v>0.5</v>
      </c>
    </row>
    <row r="20" spans="1:6" x14ac:dyDescent="0.3">
      <c r="A20" t="s">
        <v>318</v>
      </c>
      <c r="B20" t="s">
        <v>242</v>
      </c>
      <c r="C20" t="s">
        <v>172</v>
      </c>
      <c r="D20" s="1">
        <v>0.5</v>
      </c>
      <c r="E20">
        <v>-1</v>
      </c>
      <c r="F20" t="s">
        <v>319</v>
      </c>
    </row>
    <row r="21" spans="1:6" x14ac:dyDescent="0.3">
      <c r="A21" t="s">
        <v>63</v>
      </c>
      <c r="B21" t="s">
        <v>64</v>
      </c>
      <c r="C21" t="s">
        <v>65</v>
      </c>
      <c r="D21" s="1">
        <v>0.49</v>
      </c>
      <c r="E21">
        <v>-3</v>
      </c>
      <c r="F21" t="s">
        <v>59</v>
      </c>
    </row>
    <row r="22" spans="1:6" x14ac:dyDescent="0.3">
      <c r="A22" t="s">
        <v>68</v>
      </c>
      <c r="B22" t="s">
        <v>69</v>
      </c>
      <c r="C22" t="s">
        <v>70</v>
      </c>
      <c r="D22" s="1">
        <v>0.49</v>
      </c>
      <c r="E22">
        <v>-44</v>
      </c>
      <c r="F22" t="s">
        <v>17</v>
      </c>
    </row>
    <row r="23" spans="1:6" x14ac:dyDescent="0.3">
      <c r="A23" t="s">
        <v>131</v>
      </c>
      <c r="B23" t="s">
        <v>132</v>
      </c>
      <c r="C23" t="s">
        <v>133</v>
      </c>
      <c r="D23" s="1">
        <v>0.49</v>
      </c>
    </row>
    <row r="24" spans="1:6" x14ac:dyDescent="0.3">
      <c r="A24" t="s">
        <v>148</v>
      </c>
      <c r="B24" t="s">
        <v>149</v>
      </c>
      <c r="C24" t="s">
        <v>150</v>
      </c>
      <c r="D24" s="1">
        <v>0.49</v>
      </c>
    </row>
    <row r="25" spans="1:6" x14ac:dyDescent="0.3">
      <c r="A25" t="s">
        <v>175</v>
      </c>
      <c r="B25" t="s">
        <v>43</v>
      </c>
      <c r="C25" t="s">
        <v>176</v>
      </c>
      <c r="D25" s="1">
        <v>0.49</v>
      </c>
    </row>
    <row r="26" spans="1:6" x14ac:dyDescent="0.3">
      <c r="A26" t="s">
        <v>194</v>
      </c>
      <c r="B26" t="s">
        <v>195</v>
      </c>
      <c r="C26" t="s">
        <v>196</v>
      </c>
      <c r="D26" s="1">
        <v>0.49</v>
      </c>
      <c r="E26">
        <v>-69</v>
      </c>
      <c r="F26" t="s">
        <v>197</v>
      </c>
    </row>
    <row r="27" spans="1:6" x14ac:dyDescent="0.3">
      <c r="A27" t="s">
        <v>240</v>
      </c>
      <c r="B27" t="s">
        <v>241</v>
      </c>
      <c r="C27" t="s">
        <v>242</v>
      </c>
      <c r="D27" s="1">
        <v>0.49</v>
      </c>
    </row>
    <row r="28" spans="1:6" x14ac:dyDescent="0.3">
      <c r="A28" t="s">
        <v>245</v>
      </c>
      <c r="B28" t="s">
        <v>246</v>
      </c>
      <c r="C28" t="s">
        <v>247</v>
      </c>
      <c r="D28" s="1">
        <v>0.49</v>
      </c>
      <c r="E28">
        <v>-1</v>
      </c>
      <c r="F28" t="s">
        <v>59</v>
      </c>
    </row>
    <row r="29" spans="1:6" x14ac:dyDescent="0.3">
      <c r="A29" t="s">
        <v>253</v>
      </c>
      <c r="B29" t="s">
        <v>254</v>
      </c>
      <c r="C29" t="s">
        <v>91</v>
      </c>
      <c r="D29" s="1">
        <v>0.49</v>
      </c>
      <c r="E29">
        <v>-1</v>
      </c>
      <c r="F29" t="s">
        <v>29</v>
      </c>
    </row>
    <row r="30" spans="1:6" x14ac:dyDescent="0.3">
      <c r="A30" t="s">
        <v>154</v>
      </c>
      <c r="B30" t="s">
        <v>255</v>
      </c>
      <c r="C30" t="s">
        <v>222</v>
      </c>
      <c r="D30" s="1">
        <v>0.49</v>
      </c>
    </row>
    <row r="31" spans="1:6" x14ac:dyDescent="0.3">
      <c r="A31" t="s">
        <v>258</v>
      </c>
      <c r="B31" t="s">
        <v>259</v>
      </c>
      <c r="C31" t="s">
        <v>260</v>
      </c>
      <c r="D31" s="1">
        <v>0.49</v>
      </c>
    </row>
    <row r="32" spans="1:6" x14ac:dyDescent="0.3">
      <c r="A32" t="s">
        <v>175</v>
      </c>
      <c r="B32" t="s">
        <v>262</v>
      </c>
      <c r="C32" t="s">
        <v>263</v>
      </c>
      <c r="D32" s="1">
        <v>0.49</v>
      </c>
    </row>
    <row r="33" spans="1:6" x14ac:dyDescent="0.3">
      <c r="A33" t="s">
        <v>284</v>
      </c>
      <c r="B33" t="s">
        <v>285</v>
      </c>
      <c r="C33" t="s">
        <v>286</v>
      </c>
      <c r="D33" s="1">
        <v>0.49</v>
      </c>
    </row>
    <row r="34" spans="1:6" x14ac:dyDescent="0.3">
      <c r="A34" t="s">
        <v>289</v>
      </c>
      <c r="B34" t="s">
        <v>290</v>
      </c>
      <c r="C34" t="s">
        <v>291</v>
      </c>
      <c r="D34" s="1">
        <v>0.49</v>
      </c>
    </row>
    <row r="35" spans="1:6" x14ac:dyDescent="0.3">
      <c r="A35" t="s">
        <v>108</v>
      </c>
      <c r="B35" t="s">
        <v>109</v>
      </c>
      <c r="C35" t="s">
        <v>110</v>
      </c>
      <c r="D35" s="1">
        <v>0.48</v>
      </c>
      <c r="E35">
        <v>-9</v>
      </c>
      <c r="F35" t="s">
        <v>88</v>
      </c>
    </row>
    <row r="36" spans="1:6" x14ac:dyDescent="0.3">
      <c r="A36" t="s">
        <v>173</v>
      </c>
      <c r="B36" t="s">
        <v>174</v>
      </c>
      <c r="C36" t="s">
        <v>169</v>
      </c>
      <c r="D36" s="1">
        <v>0.48</v>
      </c>
    </row>
    <row r="37" spans="1:6" x14ac:dyDescent="0.3">
      <c r="A37" t="s">
        <v>272</v>
      </c>
      <c r="B37" t="s">
        <v>273</v>
      </c>
      <c r="C37" t="s">
        <v>184</v>
      </c>
      <c r="D37" s="1">
        <v>0.48</v>
      </c>
    </row>
    <row r="38" spans="1:6" x14ac:dyDescent="0.3">
      <c r="A38" t="s">
        <v>274</v>
      </c>
      <c r="B38" t="s">
        <v>275</v>
      </c>
      <c r="C38" t="s">
        <v>276</v>
      </c>
      <c r="D38" s="1">
        <v>0.48</v>
      </c>
    </row>
    <row r="39" spans="1:6" x14ac:dyDescent="0.3">
      <c r="A39" t="s">
        <v>10</v>
      </c>
      <c r="B39" t="s">
        <v>11</v>
      </c>
      <c r="C39" t="s">
        <v>12</v>
      </c>
      <c r="D39" s="1">
        <v>0.47</v>
      </c>
      <c r="E39">
        <v>-14</v>
      </c>
      <c r="F39" t="s">
        <v>13</v>
      </c>
    </row>
    <row r="40" spans="1:6" x14ac:dyDescent="0.3">
      <c r="A40" t="s">
        <v>47</v>
      </c>
      <c r="B40" t="s">
        <v>48</v>
      </c>
      <c r="C40" t="s">
        <v>49</v>
      </c>
      <c r="D40" s="1">
        <v>0.47</v>
      </c>
      <c r="E40">
        <v>-12</v>
      </c>
      <c r="F40" t="s">
        <v>25</v>
      </c>
    </row>
    <row r="41" spans="1:6" x14ac:dyDescent="0.3">
      <c r="A41" t="s">
        <v>227</v>
      </c>
      <c r="B41" t="s">
        <v>228</v>
      </c>
      <c r="C41" t="s">
        <v>207</v>
      </c>
      <c r="D41" s="1">
        <v>0.47</v>
      </c>
      <c r="E41">
        <v>-6</v>
      </c>
      <c r="F41" t="s">
        <v>208</v>
      </c>
    </row>
    <row r="42" spans="1:6" x14ac:dyDescent="0.3">
      <c r="A42" t="s">
        <v>229</v>
      </c>
      <c r="B42" t="s">
        <v>230</v>
      </c>
      <c r="C42" t="s">
        <v>231</v>
      </c>
      <c r="D42" s="1">
        <v>0.47</v>
      </c>
      <c r="E42">
        <v>-7</v>
      </c>
      <c r="F42" t="s">
        <v>193</v>
      </c>
    </row>
    <row r="43" spans="1:6" x14ac:dyDescent="0.3">
      <c r="A43" t="s">
        <v>232</v>
      </c>
      <c r="B43" t="s">
        <v>233</v>
      </c>
      <c r="C43" t="s">
        <v>234</v>
      </c>
      <c r="D43" s="1">
        <v>0.47</v>
      </c>
    </row>
    <row r="44" spans="1:6" x14ac:dyDescent="0.3">
      <c r="A44" t="s">
        <v>277</v>
      </c>
      <c r="B44" t="s">
        <v>226</v>
      </c>
      <c r="C44" t="s">
        <v>162</v>
      </c>
      <c r="D44" s="1">
        <v>0.47</v>
      </c>
    </row>
    <row r="45" spans="1:6" x14ac:dyDescent="0.3">
      <c r="A45" t="s">
        <v>277</v>
      </c>
      <c r="B45" t="s">
        <v>226</v>
      </c>
      <c r="C45" t="s">
        <v>162</v>
      </c>
      <c r="D45" s="1">
        <v>0.47</v>
      </c>
    </row>
    <row r="46" spans="1:6" x14ac:dyDescent="0.3">
      <c r="A46" t="s">
        <v>320</v>
      </c>
      <c r="B46" t="s">
        <v>321</v>
      </c>
      <c r="C46" t="s">
        <v>322</v>
      </c>
      <c r="D46" s="1">
        <v>0.47</v>
      </c>
    </row>
    <row r="47" spans="1:6" x14ac:dyDescent="0.3">
      <c r="A47" t="s">
        <v>60</v>
      </c>
      <c r="B47" t="s">
        <v>61</v>
      </c>
      <c r="C47" t="s">
        <v>62</v>
      </c>
      <c r="D47" s="1">
        <v>0.46</v>
      </c>
      <c r="E47">
        <v>-2</v>
      </c>
      <c r="F47" t="s">
        <v>59</v>
      </c>
    </row>
    <row r="48" spans="1:6" x14ac:dyDescent="0.3">
      <c r="A48" t="s">
        <v>99</v>
      </c>
      <c r="B48" t="s">
        <v>100</v>
      </c>
      <c r="C48" t="s">
        <v>101</v>
      </c>
      <c r="D48" s="1">
        <v>0.46</v>
      </c>
    </row>
    <row r="49" spans="1:6" x14ac:dyDescent="0.3">
      <c r="A49" t="s">
        <v>243</v>
      </c>
      <c r="B49" t="s">
        <v>244</v>
      </c>
      <c r="C49" t="s">
        <v>15</v>
      </c>
      <c r="D49" s="1">
        <v>0.46</v>
      </c>
      <c r="E49">
        <v>-1</v>
      </c>
      <c r="F49" t="s">
        <v>189</v>
      </c>
    </row>
    <row r="50" spans="1:6" x14ac:dyDescent="0.3">
      <c r="A50" t="s">
        <v>38</v>
      </c>
      <c r="B50" t="s">
        <v>39</v>
      </c>
      <c r="C50" t="s">
        <v>40</v>
      </c>
      <c r="D50" s="1">
        <v>0.45</v>
      </c>
      <c r="E50">
        <v>-5</v>
      </c>
      <c r="F50" t="s">
        <v>41</v>
      </c>
    </row>
    <row r="51" spans="1:6" x14ac:dyDescent="0.3">
      <c r="A51" t="s">
        <v>170</v>
      </c>
      <c r="B51" t="s">
        <v>171</v>
      </c>
      <c r="C51" t="s">
        <v>172</v>
      </c>
      <c r="D51" s="1">
        <v>0.45</v>
      </c>
    </row>
    <row r="52" spans="1:6" x14ac:dyDescent="0.3">
      <c r="A52" t="s">
        <v>206</v>
      </c>
      <c r="B52" t="s">
        <v>45</v>
      </c>
      <c r="C52" t="s">
        <v>207</v>
      </c>
      <c r="D52" s="1">
        <v>0.45</v>
      </c>
      <c r="E52">
        <v>-6</v>
      </c>
      <c r="F52" t="s">
        <v>208</v>
      </c>
    </row>
    <row r="53" spans="1:6" x14ac:dyDescent="0.3">
      <c r="A53" t="s">
        <v>215</v>
      </c>
      <c r="B53" t="s">
        <v>104</v>
      </c>
      <c r="C53" t="s">
        <v>216</v>
      </c>
      <c r="D53" s="1">
        <v>0.45</v>
      </c>
      <c r="E53">
        <v>-17</v>
      </c>
      <c r="F53" t="s">
        <v>217</v>
      </c>
    </row>
    <row r="54" spans="1:6" x14ac:dyDescent="0.3">
      <c r="A54" t="s">
        <v>221</v>
      </c>
      <c r="B54" t="s">
        <v>222</v>
      </c>
      <c r="C54" t="s">
        <v>223</v>
      </c>
      <c r="D54" s="1">
        <v>0.43</v>
      </c>
      <c r="E54">
        <v>-6</v>
      </c>
      <c r="F54" t="s">
        <v>211</v>
      </c>
    </row>
    <row r="55" spans="1:6" x14ac:dyDescent="0.3">
      <c r="A55" t="s">
        <v>224</v>
      </c>
      <c r="B55" t="s">
        <v>225</v>
      </c>
      <c r="C55" t="s">
        <v>226</v>
      </c>
      <c r="D55" s="1">
        <v>0.43</v>
      </c>
      <c r="E55">
        <v>-5</v>
      </c>
      <c r="F55" t="s">
        <v>189</v>
      </c>
    </row>
    <row r="56" spans="1:6" x14ac:dyDescent="0.3">
      <c r="A56" t="s">
        <v>235</v>
      </c>
      <c r="B56" t="s">
        <v>236</v>
      </c>
      <c r="C56" t="s">
        <v>152</v>
      </c>
      <c r="D56" s="1">
        <v>0.43</v>
      </c>
    </row>
    <row r="57" spans="1:6" x14ac:dyDescent="0.3">
      <c r="A57" t="s">
        <v>266</v>
      </c>
      <c r="B57" t="s">
        <v>267</v>
      </c>
      <c r="C57" t="s">
        <v>268</v>
      </c>
      <c r="D57" s="1">
        <v>0.43</v>
      </c>
    </row>
    <row r="58" spans="1:6" x14ac:dyDescent="0.3">
      <c r="A58" t="s">
        <v>50</v>
      </c>
      <c r="B58" t="s">
        <v>51</v>
      </c>
      <c r="C58" t="s">
        <v>52</v>
      </c>
      <c r="D58" s="1">
        <v>0.42</v>
      </c>
      <c r="E58">
        <v>-6</v>
      </c>
      <c r="F58" t="s">
        <v>9</v>
      </c>
    </row>
    <row r="59" spans="1:6" x14ac:dyDescent="0.3">
      <c r="A59" t="s">
        <v>75</v>
      </c>
      <c r="B59" t="s">
        <v>76</v>
      </c>
      <c r="C59" t="s">
        <v>77</v>
      </c>
      <c r="D59" s="1">
        <v>0.42</v>
      </c>
    </row>
    <row r="60" spans="1:6" x14ac:dyDescent="0.3">
      <c r="A60" t="s">
        <v>137</v>
      </c>
      <c r="B60" t="s">
        <v>138</v>
      </c>
      <c r="C60" t="s">
        <v>139</v>
      </c>
      <c r="D60" s="1">
        <v>0.42</v>
      </c>
    </row>
    <row r="61" spans="1:6" x14ac:dyDescent="0.3">
      <c r="A61" t="s">
        <v>137</v>
      </c>
      <c r="B61" t="s">
        <v>138</v>
      </c>
      <c r="C61" t="s">
        <v>139</v>
      </c>
      <c r="D61" s="1">
        <v>0.42</v>
      </c>
    </row>
    <row r="62" spans="1:6" x14ac:dyDescent="0.3">
      <c r="A62" t="s">
        <v>137</v>
      </c>
      <c r="B62" t="s">
        <v>138</v>
      </c>
      <c r="C62" t="s">
        <v>139</v>
      </c>
      <c r="D62" s="1">
        <v>0.42</v>
      </c>
    </row>
    <row r="63" spans="1:6" x14ac:dyDescent="0.3">
      <c r="A63" t="s">
        <v>292</v>
      </c>
      <c r="B63" t="s">
        <v>293</v>
      </c>
      <c r="C63" t="s">
        <v>294</v>
      </c>
      <c r="D63" s="1">
        <v>0.42</v>
      </c>
    </row>
    <row r="64" spans="1:6" x14ac:dyDescent="0.3">
      <c r="A64" t="s">
        <v>122</v>
      </c>
      <c r="B64" t="s">
        <v>123</v>
      </c>
      <c r="C64" t="s">
        <v>124</v>
      </c>
      <c r="D64" s="1">
        <v>0.41</v>
      </c>
      <c r="E64">
        <v>-36</v>
      </c>
      <c r="F64" t="s">
        <v>88</v>
      </c>
    </row>
    <row r="65" spans="1:6" x14ac:dyDescent="0.3">
      <c r="A65" t="s">
        <v>168</v>
      </c>
      <c r="B65" t="s">
        <v>43</v>
      </c>
      <c r="C65" t="s">
        <v>169</v>
      </c>
      <c r="D65" s="1">
        <v>0.41</v>
      </c>
    </row>
    <row r="66" spans="1:6" x14ac:dyDescent="0.3">
      <c r="A66" t="s">
        <v>298</v>
      </c>
      <c r="B66" t="s">
        <v>299</v>
      </c>
      <c r="C66" t="s">
        <v>300</v>
      </c>
      <c r="D66" s="1">
        <v>0.41</v>
      </c>
    </row>
    <row r="67" spans="1:6" x14ac:dyDescent="0.3">
      <c r="A67" t="s">
        <v>117</v>
      </c>
      <c r="B67" t="s">
        <v>118</v>
      </c>
      <c r="C67" t="s">
        <v>119</v>
      </c>
      <c r="D67" s="1">
        <v>0.4</v>
      </c>
      <c r="E67">
        <v>-1</v>
      </c>
      <c r="F67" t="s">
        <v>59</v>
      </c>
    </row>
    <row r="68" spans="1:6" x14ac:dyDescent="0.3">
      <c r="A68" t="s">
        <v>212</v>
      </c>
      <c r="B68" t="s">
        <v>213</v>
      </c>
      <c r="C68" t="s">
        <v>214</v>
      </c>
      <c r="D68" s="1">
        <v>0.39</v>
      </c>
      <c r="E68">
        <v>-5</v>
      </c>
      <c r="F68" t="s">
        <v>189</v>
      </c>
    </row>
    <row r="69" spans="1:6" x14ac:dyDescent="0.3">
      <c r="A69" t="s">
        <v>6</v>
      </c>
      <c r="B69" t="s">
        <v>7</v>
      </c>
      <c r="C69" t="s">
        <v>8</v>
      </c>
      <c r="D69" s="1">
        <v>0.38</v>
      </c>
      <c r="E69">
        <v>-2</v>
      </c>
      <c r="F69" t="s">
        <v>9</v>
      </c>
    </row>
    <row r="70" spans="1:6" x14ac:dyDescent="0.3">
      <c r="A70" t="s">
        <v>125</v>
      </c>
      <c r="B70" t="s">
        <v>126</v>
      </c>
      <c r="C70" t="s">
        <v>127</v>
      </c>
      <c r="D70" s="1">
        <v>0.38</v>
      </c>
      <c r="E70">
        <v>-2</v>
      </c>
      <c r="F70" t="s">
        <v>9</v>
      </c>
    </row>
    <row r="71" spans="1:6" x14ac:dyDescent="0.3">
      <c r="A71" t="s">
        <v>128</v>
      </c>
      <c r="B71" t="s">
        <v>129</v>
      </c>
      <c r="C71" t="s">
        <v>130</v>
      </c>
      <c r="D71" s="1">
        <v>0.38</v>
      </c>
    </row>
    <row r="72" spans="1:6" x14ac:dyDescent="0.3">
      <c r="A72" t="s">
        <v>151</v>
      </c>
      <c r="B72" t="s">
        <v>152</v>
      </c>
      <c r="C72" t="s">
        <v>153</v>
      </c>
      <c r="D72" s="1">
        <v>0.38</v>
      </c>
    </row>
    <row r="73" spans="1:6" x14ac:dyDescent="0.3">
      <c r="A73" t="s">
        <v>18</v>
      </c>
      <c r="B73" t="s">
        <v>19</v>
      </c>
      <c r="C73" t="s">
        <v>20</v>
      </c>
      <c r="D73" s="1">
        <v>0.37</v>
      </c>
      <c r="E73">
        <v>-7</v>
      </c>
      <c r="F73" t="s">
        <v>21</v>
      </c>
    </row>
    <row r="74" spans="1:6" x14ac:dyDescent="0.3">
      <c r="A74" t="s">
        <v>33</v>
      </c>
      <c r="B74" t="s">
        <v>34</v>
      </c>
      <c r="C74" t="s">
        <v>19</v>
      </c>
      <c r="D74" s="1">
        <v>0.37</v>
      </c>
      <c r="E74">
        <v>-2</v>
      </c>
      <c r="F74" t="s">
        <v>29</v>
      </c>
    </row>
    <row r="75" spans="1:6" x14ac:dyDescent="0.3">
      <c r="A75" t="s">
        <v>248</v>
      </c>
      <c r="B75" t="s">
        <v>249</v>
      </c>
      <c r="C75" t="s">
        <v>250</v>
      </c>
      <c r="D75" s="1">
        <v>0.36</v>
      </c>
    </row>
    <row r="76" spans="1:6" x14ac:dyDescent="0.3">
      <c r="A76" t="s">
        <v>78</v>
      </c>
      <c r="B76" t="s">
        <v>79</v>
      </c>
      <c r="C76" t="s">
        <v>80</v>
      </c>
      <c r="D76" s="1">
        <v>0.35</v>
      </c>
      <c r="E76">
        <v>-6</v>
      </c>
      <c r="F76" t="s">
        <v>29</v>
      </c>
    </row>
    <row r="77" spans="1:6" x14ac:dyDescent="0.3">
      <c r="A77" t="s">
        <v>89</v>
      </c>
      <c r="B77" t="s">
        <v>90</v>
      </c>
      <c r="C77" t="s">
        <v>91</v>
      </c>
      <c r="D77" s="1">
        <v>0.35</v>
      </c>
      <c r="E77">
        <v>-49</v>
      </c>
      <c r="F77" t="s">
        <v>17</v>
      </c>
    </row>
    <row r="78" spans="1:6" x14ac:dyDescent="0.3">
      <c r="A78" t="s">
        <v>44</v>
      </c>
      <c r="B78" t="s">
        <v>45</v>
      </c>
      <c r="C78" t="s">
        <v>46</v>
      </c>
      <c r="D78" s="1">
        <v>0.34</v>
      </c>
      <c r="E78">
        <v>-39</v>
      </c>
      <c r="F78" t="s">
        <v>21</v>
      </c>
    </row>
    <row r="79" spans="1:6" x14ac:dyDescent="0.3">
      <c r="A79" t="s">
        <v>105</v>
      </c>
      <c r="B79" t="s">
        <v>106</v>
      </c>
      <c r="C79" t="s">
        <v>107</v>
      </c>
      <c r="D79" s="1">
        <v>0.34</v>
      </c>
      <c r="E79">
        <v>-12</v>
      </c>
      <c r="F79" t="s">
        <v>21</v>
      </c>
    </row>
    <row r="80" spans="1:6" x14ac:dyDescent="0.3">
      <c r="A80" t="s">
        <v>307</v>
      </c>
      <c r="B80" t="s">
        <v>308</v>
      </c>
      <c r="C80" t="s">
        <v>309</v>
      </c>
      <c r="D80" s="1">
        <v>0.34</v>
      </c>
    </row>
    <row r="81" spans="1:6" x14ac:dyDescent="0.3">
      <c r="A81" t="s">
        <v>310</v>
      </c>
      <c r="B81" t="s">
        <v>146</v>
      </c>
      <c r="C81" t="s">
        <v>311</v>
      </c>
      <c r="D81" s="1">
        <v>0.34</v>
      </c>
    </row>
    <row r="82" spans="1:6" x14ac:dyDescent="0.3">
      <c r="A82" t="s">
        <v>53</v>
      </c>
      <c r="B82" t="s">
        <v>54</v>
      </c>
      <c r="C82" t="s">
        <v>20</v>
      </c>
      <c r="D82" s="1">
        <v>0.33</v>
      </c>
      <c r="E82">
        <v>-9</v>
      </c>
      <c r="F82" t="s">
        <v>55</v>
      </c>
    </row>
    <row r="83" spans="1:6" x14ac:dyDescent="0.3">
      <c r="A83" t="s">
        <v>145</v>
      </c>
      <c r="B83" t="s">
        <v>146</v>
      </c>
      <c r="C83" t="s">
        <v>147</v>
      </c>
      <c r="D83" s="1">
        <v>0.33</v>
      </c>
    </row>
    <row r="84" spans="1:6" x14ac:dyDescent="0.3">
      <c r="A84" t="s">
        <v>95</v>
      </c>
      <c r="B84" t="s">
        <v>80</v>
      </c>
      <c r="C84" t="s">
        <v>96</v>
      </c>
      <c r="D84" s="1">
        <v>0.32</v>
      </c>
      <c r="E84">
        <v>-13</v>
      </c>
      <c r="F84" t="s">
        <v>41</v>
      </c>
    </row>
    <row r="85" spans="1:6" x14ac:dyDescent="0.3">
      <c r="A85" t="s">
        <v>97</v>
      </c>
      <c r="B85" t="s">
        <v>98</v>
      </c>
      <c r="C85" t="s">
        <v>20</v>
      </c>
      <c r="D85" s="1">
        <v>0.3</v>
      </c>
      <c r="E85">
        <v>-20</v>
      </c>
      <c r="F85" t="s">
        <v>13</v>
      </c>
    </row>
    <row r="86" spans="1:6" x14ac:dyDescent="0.3">
      <c r="A86" t="s">
        <v>218</v>
      </c>
      <c r="B86" t="s">
        <v>219</v>
      </c>
      <c r="C86" t="s">
        <v>220</v>
      </c>
      <c r="D86" s="1">
        <v>0.28999999999999998</v>
      </c>
      <c r="E86">
        <v>-5</v>
      </c>
      <c r="F86" t="s">
        <v>189</v>
      </c>
    </row>
    <row r="87" spans="1:6" x14ac:dyDescent="0.3">
      <c r="A87" t="s">
        <v>111</v>
      </c>
      <c r="B87" t="s">
        <v>112</v>
      </c>
      <c r="C87" t="s">
        <v>113</v>
      </c>
      <c r="D87" s="1">
        <v>0.27</v>
      </c>
      <c r="E87">
        <v>-20</v>
      </c>
      <c r="F87" t="s">
        <v>21</v>
      </c>
    </row>
    <row r="88" spans="1:6" x14ac:dyDescent="0.3">
      <c r="A88" t="s">
        <v>114</v>
      </c>
      <c r="B88" t="s">
        <v>115</v>
      </c>
      <c r="C88" t="s">
        <v>116</v>
      </c>
      <c r="D88" s="1">
        <v>0.27</v>
      </c>
      <c r="E88">
        <v>-32</v>
      </c>
      <c r="F88" t="s">
        <v>9</v>
      </c>
    </row>
    <row r="89" spans="1:6" x14ac:dyDescent="0.3">
      <c r="A89" t="s">
        <v>177</v>
      </c>
      <c r="B89" t="s">
        <v>178</v>
      </c>
      <c r="C89" t="s">
        <v>179</v>
      </c>
      <c r="D89" s="1">
        <v>0.27</v>
      </c>
    </row>
    <row r="90" spans="1:6" x14ac:dyDescent="0.3">
      <c r="A90" t="s">
        <v>22</v>
      </c>
      <c r="B90" t="s">
        <v>23</v>
      </c>
      <c r="C90" t="s">
        <v>24</v>
      </c>
      <c r="D90" s="1">
        <v>0.26</v>
      </c>
      <c r="E90">
        <v>-5</v>
      </c>
      <c r="F90" t="s">
        <v>25</v>
      </c>
    </row>
    <row r="91" spans="1:6" x14ac:dyDescent="0.3">
      <c r="A91" t="s">
        <v>14</v>
      </c>
      <c r="B91" t="s">
        <v>15</v>
      </c>
      <c r="C91" t="s">
        <v>16</v>
      </c>
      <c r="D91" s="1">
        <v>0.25</v>
      </c>
      <c r="E91">
        <v>-24</v>
      </c>
      <c r="F91" t="s">
        <v>17</v>
      </c>
    </row>
    <row r="92" spans="1:6" x14ac:dyDescent="0.3">
      <c r="A92" t="s">
        <v>30</v>
      </c>
      <c r="B92" t="s">
        <v>31</v>
      </c>
      <c r="C92" t="s">
        <v>32</v>
      </c>
      <c r="D92" s="1">
        <v>0.24</v>
      </c>
      <c r="E92">
        <v>-55</v>
      </c>
      <c r="F92" t="s">
        <v>17</v>
      </c>
    </row>
    <row r="93" spans="1:6" x14ac:dyDescent="0.3">
      <c r="A93" t="s">
        <v>304</v>
      </c>
      <c r="B93" t="s">
        <v>305</v>
      </c>
      <c r="C93" t="s">
        <v>306</v>
      </c>
      <c r="D93" s="1">
        <v>0.24</v>
      </c>
    </row>
    <row r="94" spans="1:6" x14ac:dyDescent="0.3">
      <c r="A94" t="s">
        <v>81</v>
      </c>
      <c r="B94" t="s">
        <v>82</v>
      </c>
      <c r="C94" t="s">
        <v>83</v>
      </c>
      <c r="D94" s="1">
        <v>0.23</v>
      </c>
      <c r="E94">
        <v>-14</v>
      </c>
      <c r="F94" t="s">
        <v>84</v>
      </c>
    </row>
    <row r="95" spans="1:6" x14ac:dyDescent="0.3">
      <c r="A95" t="s">
        <v>163</v>
      </c>
      <c r="B95" t="s">
        <v>158</v>
      </c>
      <c r="C95" t="s">
        <v>164</v>
      </c>
      <c r="D95" s="1">
        <v>0.22</v>
      </c>
    </row>
    <row r="96" spans="1:6" x14ac:dyDescent="0.3">
      <c r="A96" t="s">
        <v>202</v>
      </c>
      <c r="B96" t="s">
        <v>203</v>
      </c>
      <c r="C96" t="s">
        <v>204</v>
      </c>
      <c r="D96" s="1">
        <v>0.22</v>
      </c>
      <c r="E96">
        <v>-16</v>
      </c>
      <c r="F96" t="s">
        <v>205</v>
      </c>
    </row>
    <row r="97" spans="1:6" x14ac:dyDescent="0.3">
      <c r="A97" t="s">
        <v>295</v>
      </c>
      <c r="B97" t="s">
        <v>296</v>
      </c>
      <c r="C97" t="s">
        <v>297</v>
      </c>
      <c r="D97" s="1">
        <v>0.21</v>
      </c>
      <c r="E97">
        <v>-1</v>
      </c>
      <c r="F97" t="s">
        <v>59</v>
      </c>
    </row>
    <row r="98" spans="1:6" x14ac:dyDescent="0.3">
      <c r="A98" t="s">
        <v>42</v>
      </c>
      <c r="B98" t="s">
        <v>43</v>
      </c>
      <c r="C98" t="s">
        <v>12</v>
      </c>
      <c r="D98" s="1">
        <v>0.2</v>
      </c>
      <c r="E98">
        <v>-12</v>
      </c>
      <c r="F98" t="s">
        <v>13</v>
      </c>
    </row>
    <row r="99" spans="1:6" x14ac:dyDescent="0.3">
      <c r="A99" t="s">
        <v>66</v>
      </c>
      <c r="B99" t="s">
        <v>27</v>
      </c>
      <c r="C99" t="s">
        <v>67</v>
      </c>
      <c r="D99" s="1">
        <v>0.19</v>
      </c>
      <c r="E99">
        <v>-5</v>
      </c>
      <c r="F99" t="s">
        <v>17</v>
      </c>
    </row>
    <row r="100" spans="1:6" x14ac:dyDescent="0.3">
      <c r="A100" t="s">
        <v>92</v>
      </c>
      <c r="B100" t="s">
        <v>93</v>
      </c>
      <c r="C100" t="s">
        <v>94</v>
      </c>
      <c r="D100" s="1">
        <v>0.18</v>
      </c>
      <c r="E100">
        <v>-12</v>
      </c>
      <c r="F100" t="s">
        <v>41</v>
      </c>
    </row>
    <row r="101" spans="1:6" x14ac:dyDescent="0.3">
      <c r="A101" t="s">
        <v>256</v>
      </c>
      <c r="B101" t="s">
        <v>257</v>
      </c>
      <c r="C101" t="s">
        <v>162</v>
      </c>
      <c r="D101" s="1">
        <v>0.14000000000000001</v>
      </c>
    </row>
    <row r="102" spans="1:6" x14ac:dyDescent="0.3">
      <c r="A102" t="s">
        <v>264</v>
      </c>
      <c r="B102" t="s">
        <v>265</v>
      </c>
      <c r="C102" t="s">
        <v>162</v>
      </c>
      <c r="D102" s="1">
        <v>0.14000000000000001</v>
      </c>
    </row>
    <row r="103" spans="1:6" x14ac:dyDescent="0.3">
      <c r="A103" t="s">
        <v>182</v>
      </c>
      <c r="B103" t="s">
        <v>183</v>
      </c>
      <c r="C103" t="s">
        <v>184</v>
      </c>
      <c r="D103" s="1">
        <v>0.13</v>
      </c>
      <c r="E103">
        <v>-6</v>
      </c>
      <c r="F103" t="s">
        <v>185</v>
      </c>
    </row>
    <row r="104" spans="1:6" x14ac:dyDescent="0.3">
      <c r="A104" t="s">
        <v>261</v>
      </c>
      <c r="B104" t="s">
        <v>43</v>
      </c>
      <c r="C104" t="s">
        <v>172</v>
      </c>
      <c r="D104" s="1">
        <v>0.11</v>
      </c>
    </row>
    <row r="105" spans="1:6" x14ac:dyDescent="0.3">
      <c r="A105" t="s">
        <v>26</v>
      </c>
      <c r="B105" t="s">
        <v>27</v>
      </c>
      <c r="C105" t="s">
        <v>28</v>
      </c>
      <c r="D105" s="1">
        <v>0.09</v>
      </c>
      <c r="E105">
        <v>-15</v>
      </c>
      <c r="F105" t="s">
        <v>29</v>
      </c>
    </row>
    <row r="106" spans="1:6" x14ac:dyDescent="0.3">
      <c r="A106" t="s">
        <v>280</v>
      </c>
      <c r="B106" t="s">
        <v>281</v>
      </c>
      <c r="C106" t="s">
        <v>161</v>
      </c>
      <c r="D106" s="1">
        <v>0.08</v>
      </c>
    </row>
    <row r="107" spans="1:6" x14ac:dyDescent="0.3">
      <c r="A107" t="s">
        <v>237</v>
      </c>
      <c r="B107" t="s">
        <v>238</v>
      </c>
      <c r="C107" t="s">
        <v>239</v>
      </c>
      <c r="D107" s="1">
        <v>0.04</v>
      </c>
    </row>
    <row r="108" spans="1:6" x14ac:dyDescent="0.3">
      <c r="A108" t="s">
        <v>287</v>
      </c>
      <c r="B108" t="s">
        <v>288</v>
      </c>
      <c r="C108" t="s">
        <v>67</v>
      </c>
      <c r="D108" s="1">
        <v>0.04</v>
      </c>
    </row>
    <row r="109" spans="1:6" x14ac:dyDescent="0.3">
      <c r="A109" t="s">
        <v>165</v>
      </c>
      <c r="B109" t="s">
        <v>166</v>
      </c>
      <c r="C109" t="s">
        <v>167</v>
      </c>
      <c r="D109" s="1">
        <v>0.03</v>
      </c>
    </row>
    <row r="110" spans="1:6" x14ac:dyDescent="0.3">
      <c r="A110" t="s">
        <v>140</v>
      </c>
      <c r="B110" t="s">
        <v>141</v>
      </c>
      <c r="C110" t="s">
        <v>142</v>
      </c>
      <c r="D110" s="1">
        <v>0.02</v>
      </c>
    </row>
    <row r="111" spans="1:6" x14ac:dyDescent="0.3">
      <c r="A111" t="s">
        <v>160</v>
      </c>
      <c r="B111" t="s">
        <v>161</v>
      </c>
      <c r="C111" t="s">
        <v>162</v>
      </c>
      <c r="D111" s="1">
        <v>0.02</v>
      </c>
    </row>
    <row r="112" spans="1:6" x14ac:dyDescent="0.3">
      <c r="A112" t="s">
        <v>251</v>
      </c>
      <c r="B112" t="s">
        <v>252</v>
      </c>
      <c r="C112" t="s">
        <v>162</v>
      </c>
      <c r="D112" s="1">
        <v>0.02</v>
      </c>
    </row>
    <row r="113" spans="1:4" x14ac:dyDescent="0.3">
      <c r="A113" t="s">
        <v>282</v>
      </c>
      <c r="B113" t="s">
        <v>283</v>
      </c>
      <c r="C113" t="s">
        <v>167</v>
      </c>
      <c r="D113" s="1">
        <v>0.02</v>
      </c>
    </row>
    <row r="114" spans="1:4" x14ac:dyDescent="0.3">
      <c r="A114" t="s">
        <v>312</v>
      </c>
      <c r="B114" t="s">
        <v>313</v>
      </c>
      <c r="C114" t="s">
        <v>162</v>
      </c>
      <c r="D114" s="1">
        <v>0.02</v>
      </c>
    </row>
    <row r="115" spans="1:4" x14ac:dyDescent="0.3">
      <c r="A115" t="s">
        <v>314</v>
      </c>
      <c r="B115" t="s">
        <v>315</v>
      </c>
      <c r="C115" t="s">
        <v>239</v>
      </c>
      <c r="D115" s="1">
        <v>0.02</v>
      </c>
    </row>
    <row r="116" spans="1:4" x14ac:dyDescent="0.3">
      <c r="A116" t="s">
        <v>301</v>
      </c>
      <c r="B116" t="s">
        <v>302</v>
      </c>
      <c r="C116" t="s">
        <v>303</v>
      </c>
      <c r="D116" s="1">
        <v>0.01</v>
      </c>
    </row>
  </sheetData>
  <autoFilter ref="A1:A116" xr:uid="{00000000-0009-0000-0000-000000000000}"/>
  <sortState ref="A2:F116">
    <sortCondition descending="1" ref="D1"/>
  </sortState>
  <conditionalFormatting sqref="A1:A1048576">
    <cfRule type="duplicateValues" dxfId="1"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4"/>
  <sheetViews>
    <sheetView workbookViewId="0">
      <selection activeCell="A4" sqref="A4"/>
    </sheetView>
  </sheetViews>
  <sheetFormatPr defaultRowHeight="14.4" x14ac:dyDescent="0.3"/>
  <cols>
    <col min="1" max="1" width="18.109375" bestFit="1" customWidth="1"/>
    <col min="2" max="2" width="18.6640625" bestFit="1" customWidth="1"/>
    <col min="3" max="3" width="21.77734375" bestFit="1" customWidth="1"/>
    <col min="4" max="4" width="18" bestFit="1" customWidth="1"/>
  </cols>
  <sheetData>
    <row r="3" spans="1:4" x14ac:dyDescent="0.3">
      <c r="A3" t="s">
        <v>331</v>
      </c>
      <c r="B3" t="s">
        <v>335</v>
      </c>
      <c r="C3" t="s">
        <v>332</v>
      </c>
      <c r="D3" t="s">
        <v>333</v>
      </c>
    </row>
    <row r="4" spans="1:4" x14ac:dyDescent="0.3">
      <c r="A4" s="1">
        <v>0.36956521739130432</v>
      </c>
      <c r="B4" s="11">
        <v>1.9278260869565214</v>
      </c>
      <c r="C4" s="11">
        <v>1202.7777777777778</v>
      </c>
      <c r="D4" s="11">
        <v>1829.7685185185185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29"/>
  <sheetViews>
    <sheetView workbookViewId="0">
      <selection activeCell="D25" sqref="D25"/>
    </sheetView>
  </sheetViews>
  <sheetFormatPr defaultRowHeight="14.4" x14ac:dyDescent="0.3"/>
  <cols>
    <col min="1" max="1" width="12.5546875" bestFit="1" customWidth="1"/>
    <col min="2" max="2" width="14.88671875" bestFit="1" customWidth="1"/>
    <col min="3" max="4" width="13.5546875" bestFit="1" customWidth="1"/>
    <col min="5" max="12" width="4" bestFit="1" customWidth="1"/>
    <col min="13" max="14" width="5" bestFit="1" customWidth="1"/>
    <col min="15" max="15" width="12" bestFit="1" customWidth="1"/>
    <col min="16" max="16" width="5" bestFit="1" customWidth="1"/>
    <col min="17" max="17" width="3.6640625" bestFit="1" customWidth="1"/>
    <col min="18" max="18" width="12" bestFit="1" customWidth="1"/>
    <col min="19" max="20" width="5" bestFit="1" customWidth="1"/>
    <col min="21" max="21" width="12" bestFit="1" customWidth="1"/>
    <col min="22" max="22" width="2.6640625" bestFit="1" customWidth="1"/>
    <col min="23" max="23" width="12" bestFit="1" customWidth="1"/>
    <col min="24" max="24" width="2.6640625" bestFit="1" customWidth="1"/>
    <col min="25" max="25" width="3.5546875" bestFit="1" customWidth="1"/>
    <col min="26" max="26" width="7" bestFit="1" customWidth="1"/>
    <col min="27" max="27" width="18.109375" bestFit="1" customWidth="1"/>
    <col min="28" max="34" width="5" bestFit="1" customWidth="1"/>
    <col min="35" max="35" width="6" bestFit="1" customWidth="1"/>
    <col min="36" max="36" width="4" bestFit="1" customWidth="1"/>
    <col min="37" max="39" width="5" bestFit="1" customWidth="1"/>
    <col min="40" max="40" width="12" bestFit="1" customWidth="1"/>
    <col min="41" max="41" width="7" bestFit="1" customWidth="1"/>
    <col min="42" max="42" width="5" bestFit="1" customWidth="1"/>
    <col min="43" max="43" width="12" bestFit="1" customWidth="1"/>
    <col min="44" max="44" width="5" bestFit="1" customWidth="1"/>
    <col min="45" max="46" width="12" bestFit="1" customWidth="1"/>
    <col min="47" max="47" width="5" bestFit="1" customWidth="1"/>
    <col min="48" max="51" width="12" bestFit="1" customWidth="1"/>
    <col min="52" max="52" width="23.44140625" bestFit="1" customWidth="1"/>
    <col min="53" max="53" width="22.88671875" bestFit="1" customWidth="1"/>
  </cols>
  <sheetData>
    <row r="3" spans="1:2" x14ac:dyDescent="0.3">
      <c r="A3" s="10" t="s">
        <v>327</v>
      </c>
      <c r="B3" t="s">
        <v>330</v>
      </c>
    </row>
    <row r="4" spans="1:2" x14ac:dyDescent="0.3">
      <c r="A4" s="5">
        <v>0</v>
      </c>
      <c r="B4" s="11">
        <v>1.99</v>
      </c>
    </row>
    <row r="5" spans="1:2" x14ac:dyDescent="0.3">
      <c r="A5" s="5">
        <v>1</v>
      </c>
      <c r="B5" s="11">
        <v>1.61</v>
      </c>
    </row>
    <row r="6" spans="1:2" x14ac:dyDescent="0.3">
      <c r="A6" s="5">
        <v>2</v>
      </c>
      <c r="B6" s="11">
        <v>2.63</v>
      </c>
    </row>
    <row r="7" spans="1:2" x14ac:dyDescent="0.3">
      <c r="A7" s="5">
        <v>3</v>
      </c>
      <c r="B7" s="11">
        <v>0.49</v>
      </c>
    </row>
    <row r="8" spans="1:2" x14ac:dyDescent="0.3">
      <c r="A8" s="5">
        <v>5</v>
      </c>
      <c r="B8" s="11">
        <v>2.58</v>
      </c>
    </row>
    <row r="9" spans="1:2" x14ac:dyDescent="0.3">
      <c r="A9" s="5">
        <v>6</v>
      </c>
      <c r="B9" s="11">
        <v>2.4400000000000004</v>
      </c>
    </row>
    <row r="10" spans="1:2" x14ac:dyDescent="0.3">
      <c r="A10" s="5">
        <v>7</v>
      </c>
      <c r="B10" s="11">
        <v>1.56</v>
      </c>
    </row>
    <row r="11" spans="1:2" x14ac:dyDescent="0.3">
      <c r="A11" s="5">
        <v>9</v>
      </c>
      <c r="B11" s="11">
        <v>1.33</v>
      </c>
    </row>
    <row r="12" spans="1:2" x14ac:dyDescent="0.3">
      <c r="A12" s="5">
        <v>10</v>
      </c>
      <c r="B12" s="11">
        <v>0.55000000000000004</v>
      </c>
    </row>
    <row r="13" spans="1:2" x14ac:dyDescent="0.3">
      <c r="A13" s="5">
        <v>12</v>
      </c>
      <c r="B13" s="11">
        <v>1.19</v>
      </c>
    </row>
    <row r="14" spans="1:2" x14ac:dyDescent="0.3">
      <c r="A14" s="5">
        <v>13</v>
      </c>
      <c r="B14" s="11">
        <v>0.98000000000000009</v>
      </c>
    </row>
    <row r="15" spans="1:2" x14ac:dyDescent="0.3">
      <c r="A15" s="5">
        <v>14</v>
      </c>
      <c r="B15" s="11">
        <v>0.7</v>
      </c>
    </row>
    <row r="16" spans="1:2" x14ac:dyDescent="0.3">
      <c r="A16" s="5">
        <v>15</v>
      </c>
      <c r="B16" s="11">
        <v>0.64</v>
      </c>
    </row>
    <row r="17" spans="1:2" x14ac:dyDescent="0.3">
      <c r="A17" s="5">
        <v>16</v>
      </c>
      <c r="B17" s="11">
        <v>0.49</v>
      </c>
    </row>
    <row r="18" spans="1:2" x14ac:dyDescent="0.3">
      <c r="A18" s="5">
        <v>17</v>
      </c>
      <c r="B18" s="11">
        <v>0.5</v>
      </c>
    </row>
    <row r="19" spans="1:2" x14ac:dyDescent="0.3">
      <c r="A19" s="5">
        <v>20</v>
      </c>
      <c r="B19" s="11">
        <v>0.57000000000000006</v>
      </c>
    </row>
    <row r="20" spans="1:2" x14ac:dyDescent="0.3">
      <c r="A20" s="5">
        <v>24</v>
      </c>
      <c r="B20" s="11">
        <v>0.25</v>
      </c>
    </row>
    <row r="21" spans="1:2" x14ac:dyDescent="0.3">
      <c r="A21" s="5">
        <v>32</v>
      </c>
      <c r="B21" s="11">
        <v>0.27</v>
      </c>
    </row>
    <row r="22" spans="1:2" x14ac:dyDescent="0.3">
      <c r="A22" s="5">
        <v>36</v>
      </c>
      <c r="B22" s="11">
        <v>0.41</v>
      </c>
    </row>
    <row r="23" spans="1:2" x14ac:dyDescent="0.3">
      <c r="A23" s="5">
        <v>39</v>
      </c>
      <c r="B23" s="11">
        <v>0.34</v>
      </c>
    </row>
    <row r="24" spans="1:2" x14ac:dyDescent="0.3">
      <c r="A24" s="5">
        <v>44</v>
      </c>
      <c r="B24" s="11">
        <v>0.49</v>
      </c>
    </row>
    <row r="25" spans="1:2" x14ac:dyDescent="0.3">
      <c r="A25" s="5">
        <v>49</v>
      </c>
      <c r="B25" s="11">
        <v>0.35</v>
      </c>
    </row>
    <row r="26" spans="1:2" x14ac:dyDescent="0.3">
      <c r="A26" s="5">
        <v>55</v>
      </c>
      <c r="B26" s="11">
        <v>0.24</v>
      </c>
    </row>
    <row r="27" spans="1:2" x14ac:dyDescent="0.3">
      <c r="A27" s="5">
        <v>69</v>
      </c>
      <c r="B27" s="11">
        <v>0.54</v>
      </c>
    </row>
    <row r="28" spans="1:2" x14ac:dyDescent="0.3">
      <c r="A28" s="5" t="s">
        <v>334</v>
      </c>
      <c r="B28" s="11">
        <v>19.360000000000003</v>
      </c>
    </row>
    <row r="29" spans="1:2" x14ac:dyDescent="0.3">
      <c r="A29" s="5" t="s">
        <v>329</v>
      </c>
      <c r="B29" s="11">
        <v>42.5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7"/>
  <sheetViews>
    <sheetView topLeftCell="A19" workbookViewId="0">
      <selection activeCell="C14" sqref="C14"/>
    </sheetView>
  </sheetViews>
  <sheetFormatPr defaultRowHeight="14.4" x14ac:dyDescent="0.3"/>
  <cols>
    <col min="1" max="1" width="12.5546875" bestFit="1" customWidth="1"/>
    <col min="2" max="2" width="18.6640625" bestFit="1" customWidth="1"/>
    <col min="3" max="3" width="18.109375" style="8" bestFit="1" customWidth="1"/>
  </cols>
  <sheetData>
    <row r="3" spans="1:3" x14ac:dyDescent="0.3">
      <c r="A3" s="10" t="s">
        <v>327</v>
      </c>
      <c r="B3" t="s">
        <v>335</v>
      </c>
      <c r="C3" s="8" t="s">
        <v>331</v>
      </c>
    </row>
    <row r="4" spans="1:3" x14ac:dyDescent="0.3">
      <c r="A4" s="5" t="s">
        <v>338</v>
      </c>
      <c r="B4" s="11">
        <v>1.5061538461538457</v>
      </c>
      <c r="C4" s="8">
        <v>0.48123076923076902</v>
      </c>
    </row>
    <row r="5" spans="1:3" x14ac:dyDescent="0.3">
      <c r="A5" s="5" t="s">
        <v>339</v>
      </c>
      <c r="B5" s="11">
        <v>1.4000000000000001</v>
      </c>
      <c r="C5" s="8">
        <v>7.8947368421052641E-2</v>
      </c>
    </row>
    <row r="6" spans="1:3" x14ac:dyDescent="0.3">
      <c r="A6" s="5" t="s">
        <v>340</v>
      </c>
      <c r="B6" s="11">
        <v>3.1354838709677417</v>
      </c>
      <c r="C6" s="8">
        <v>0.31354838709677429</v>
      </c>
    </row>
    <row r="7" spans="1:3" x14ac:dyDescent="0.3">
      <c r="A7" s="5" t="s">
        <v>329</v>
      </c>
      <c r="B7" s="11">
        <v>1.9278260869565209</v>
      </c>
      <c r="C7" s="8">
        <v>0.3695652173913046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8"/>
  <sheetViews>
    <sheetView workbookViewId="0">
      <selection activeCell="B17" sqref="B17"/>
    </sheetView>
  </sheetViews>
  <sheetFormatPr defaultRowHeight="14.4" x14ac:dyDescent="0.3"/>
  <cols>
    <col min="1" max="1" width="12.5546875" bestFit="1" customWidth="1"/>
    <col min="2" max="2" width="15.5546875" bestFit="1" customWidth="1"/>
    <col min="3" max="3" width="50.44140625" bestFit="1" customWidth="1"/>
    <col min="4" max="4" width="48.44140625" bestFit="1" customWidth="1"/>
    <col min="5" max="5" width="29.21875" bestFit="1" customWidth="1"/>
    <col min="6" max="6" width="58.77734375" bestFit="1" customWidth="1"/>
    <col min="7" max="7" width="61.77734375" bestFit="1" customWidth="1"/>
    <col min="8" max="8" width="45.44140625" bestFit="1" customWidth="1"/>
    <col min="9" max="9" width="40.109375" bestFit="1" customWidth="1"/>
    <col min="10" max="10" width="65.77734375" bestFit="1" customWidth="1"/>
    <col min="11" max="11" width="62.88671875" bestFit="1" customWidth="1"/>
    <col min="12" max="12" width="50.33203125" bestFit="1" customWidth="1"/>
    <col min="13" max="13" width="37.33203125" bestFit="1" customWidth="1"/>
    <col min="14" max="14" width="58.33203125" bestFit="1" customWidth="1"/>
    <col min="15" max="15" width="66.6640625" bestFit="1" customWidth="1"/>
    <col min="16" max="16" width="53.5546875" bestFit="1" customWidth="1"/>
    <col min="17" max="17" width="46.33203125" bestFit="1" customWidth="1"/>
    <col min="18" max="18" width="38.6640625" bestFit="1" customWidth="1"/>
    <col min="19" max="19" width="42.109375" bestFit="1" customWidth="1"/>
    <col min="20" max="20" width="35" bestFit="1" customWidth="1"/>
    <col min="21" max="21" width="45.109375" bestFit="1" customWidth="1"/>
    <col min="22" max="22" width="61.6640625" bestFit="1" customWidth="1"/>
    <col min="23" max="23" width="45.6640625" bestFit="1" customWidth="1"/>
    <col min="24" max="24" width="53" bestFit="1" customWidth="1"/>
    <col min="25" max="25" width="53.6640625" bestFit="1" customWidth="1"/>
    <col min="26" max="26" width="91" bestFit="1" customWidth="1"/>
    <col min="27" max="27" width="50.33203125" bestFit="1" customWidth="1"/>
    <col min="28" max="28" width="46.6640625" bestFit="1" customWidth="1"/>
    <col min="29" max="29" width="55" bestFit="1" customWidth="1"/>
    <col min="30" max="30" width="56.5546875" bestFit="1" customWidth="1"/>
    <col min="31" max="31" width="61.5546875" bestFit="1" customWidth="1"/>
    <col min="32" max="32" width="51.88671875" bestFit="1" customWidth="1"/>
    <col min="33" max="33" width="27.88671875" bestFit="1" customWidth="1"/>
    <col min="34" max="34" width="59.5546875" bestFit="1" customWidth="1"/>
    <col min="35" max="35" width="48.21875" bestFit="1" customWidth="1"/>
    <col min="36" max="36" width="52.5546875" bestFit="1" customWidth="1"/>
    <col min="37" max="37" width="48.88671875" bestFit="1" customWidth="1"/>
    <col min="38" max="38" width="52" bestFit="1" customWidth="1"/>
    <col min="39" max="39" width="54.21875" bestFit="1" customWidth="1"/>
    <col min="40" max="40" width="46.6640625" bestFit="1" customWidth="1"/>
    <col min="41" max="41" width="63.33203125" bestFit="1" customWidth="1"/>
    <col min="42" max="42" width="50.109375" bestFit="1" customWidth="1"/>
    <col min="43" max="43" width="33.77734375" bestFit="1" customWidth="1"/>
    <col min="44" max="44" width="23.21875" bestFit="1" customWidth="1"/>
    <col min="45" max="45" width="53.21875" bestFit="1" customWidth="1"/>
    <col min="46" max="46" width="59.6640625" bestFit="1" customWidth="1"/>
    <col min="47" max="47" width="53.109375" bestFit="1" customWidth="1"/>
    <col min="48" max="48" width="55.6640625" bestFit="1" customWidth="1"/>
    <col min="49" max="49" width="48.77734375" bestFit="1" customWidth="1"/>
    <col min="50" max="50" width="30.77734375" bestFit="1" customWidth="1"/>
    <col min="51" max="51" width="66" bestFit="1" customWidth="1"/>
    <col min="52" max="52" width="52.33203125" bestFit="1" customWidth="1"/>
    <col min="53" max="53" width="65.21875" bestFit="1" customWidth="1"/>
    <col min="54" max="54" width="68.6640625" bestFit="1" customWidth="1"/>
    <col min="55" max="55" width="34.77734375" bestFit="1" customWidth="1"/>
    <col min="56" max="56" width="53.33203125" bestFit="1" customWidth="1"/>
    <col min="57" max="57" width="63.6640625" bestFit="1" customWidth="1"/>
    <col min="58" max="58" width="47.77734375" bestFit="1" customWidth="1"/>
    <col min="59" max="59" width="45.5546875" bestFit="1" customWidth="1"/>
    <col min="60" max="60" width="38.21875" bestFit="1" customWidth="1"/>
    <col min="61" max="61" width="33.6640625" bestFit="1" customWidth="1"/>
    <col min="62" max="62" width="55.44140625" bestFit="1" customWidth="1"/>
    <col min="63" max="63" width="30.5546875" bestFit="1" customWidth="1"/>
    <col min="64" max="64" width="56.6640625" bestFit="1" customWidth="1"/>
    <col min="65" max="65" width="53.77734375" bestFit="1" customWidth="1"/>
    <col min="66" max="66" width="68.109375" bestFit="1" customWidth="1"/>
    <col min="67" max="67" width="46.6640625" bestFit="1" customWidth="1"/>
    <col min="68" max="68" width="51.88671875" bestFit="1" customWidth="1"/>
    <col min="69" max="69" width="44.88671875" bestFit="1" customWidth="1"/>
    <col min="70" max="70" width="65.88671875" bestFit="1" customWidth="1"/>
    <col min="71" max="71" width="70.88671875" bestFit="1" customWidth="1"/>
    <col min="72" max="72" width="68" bestFit="1" customWidth="1"/>
    <col min="73" max="73" width="57.33203125" bestFit="1" customWidth="1"/>
    <col min="74" max="74" width="43.88671875" bestFit="1" customWidth="1"/>
    <col min="75" max="75" width="51.77734375" bestFit="1" customWidth="1"/>
    <col min="76" max="76" width="51" bestFit="1" customWidth="1"/>
    <col min="77" max="77" width="48.88671875" bestFit="1" customWidth="1"/>
    <col min="78" max="78" width="43.33203125" bestFit="1" customWidth="1"/>
    <col min="79" max="79" width="58.109375" bestFit="1" customWidth="1"/>
    <col min="80" max="80" width="40.6640625" bestFit="1" customWidth="1"/>
    <col min="81" max="81" width="68.77734375" bestFit="1" customWidth="1"/>
    <col min="82" max="82" width="53.33203125" bestFit="1" customWidth="1"/>
    <col min="83" max="83" width="71.6640625" bestFit="1" customWidth="1"/>
    <col min="84" max="84" width="52" bestFit="1" customWidth="1"/>
    <col min="85" max="85" width="65.5546875" bestFit="1" customWidth="1"/>
    <col min="86" max="86" width="73.77734375" bestFit="1" customWidth="1"/>
    <col min="87" max="87" width="28.6640625" bestFit="1" customWidth="1"/>
    <col min="88" max="88" width="74.77734375" bestFit="1" customWidth="1"/>
    <col min="89" max="89" width="38.21875" bestFit="1" customWidth="1"/>
    <col min="90" max="90" width="57" bestFit="1" customWidth="1"/>
    <col min="91" max="91" width="43.109375" bestFit="1" customWidth="1"/>
    <col min="92" max="92" width="50.88671875" bestFit="1" customWidth="1"/>
    <col min="93" max="93" width="59" bestFit="1" customWidth="1"/>
    <col min="94" max="94" width="7" bestFit="1" customWidth="1"/>
    <col min="95" max="95" width="10.77734375" bestFit="1" customWidth="1"/>
  </cols>
  <sheetData>
    <row r="3" spans="1:2" x14ac:dyDescent="0.3">
      <c r="A3" s="10" t="s">
        <v>327</v>
      </c>
      <c r="B3" t="s">
        <v>351</v>
      </c>
    </row>
    <row r="4" spans="1:2" x14ac:dyDescent="0.3">
      <c r="A4" s="5" t="s">
        <v>342</v>
      </c>
      <c r="B4" s="11">
        <v>17</v>
      </c>
    </row>
    <row r="5" spans="1:2" x14ac:dyDescent="0.3">
      <c r="A5" s="5" t="s">
        <v>341</v>
      </c>
      <c r="B5" s="11">
        <v>23</v>
      </c>
    </row>
    <row r="6" spans="1:2" x14ac:dyDescent="0.3">
      <c r="A6" s="5" t="s">
        <v>343</v>
      </c>
      <c r="B6" s="11">
        <v>69</v>
      </c>
    </row>
    <row r="7" spans="1:2" x14ac:dyDescent="0.3">
      <c r="A7" s="5" t="s">
        <v>328</v>
      </c>
      <c r="B7" s="11"/>
    </row>
    <row r="8" spans="1:2" x14ac:dyDescent="0.3">
      <c r="A8" s="5" t="s">
        <v>329</v>
      </c>
      <c r="B8" s="11">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7"/>
  <sheetViews>
    <sheetView workbookViewId="0">
      <selection activeCell="B4" sqref="B4"/>
    </sheetView>
  </sheetViews>
  <sheetFormatPr defaultRowHeight="14.4" x14ac:dyDescent="0.3"/>
  <cols>
    <col min="1" max="1" width="12.5546875" bestFit="1" customWidth="1"/>
    <col min="2" max="2" width="21" bestFit="1" customWidth="1"/>
  </cols>
  <sheetData>
    <row r="3" spans="1:2" x14ac:dyDescent="0.3">
      <c r="A3" s="10" t="s">
        <v>327</v>
      </c>
      <c r="B3" t="s">
        <v>352</v>
      </c>
    </row>
    <row r="4" spans="1:2" x14ac:dyDescent="0.3">
      <c r="A4" s="5" t="s">
        <v>338</v>
      </c>
      <c r="B4" s="11">
        <v>5.129032258064516</v>
      </c>
    </row>
    <row r="5" spans="1:2" x14ac:dyDescent="0.3">
      <c r="A5" s="5" t="s">
        <v>339</v>
      </c>
      <c r="B5" s="11">
        <v>3.4705882352941178</v>
      </c>
    </row>
    <row r="6" spans="1:2" x14ac:dyDescent="0.3">
      <c r="A6" s="5" t="s">
        <v>340</v>
      </c>
      <c r="B6" s="11">
        <v>10.033333333333333</v>
      </c>
    </row>
    <row r="7" spans="1:2" x14ac:dyDescent="0.3">
      <c r="A7" s="5" t="s">
        <v>329</v>
      </c>
      <c r="B7" s="11">
        <v>6.2201834862385317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15"/>
  <sheetViews>
    <sheetView workbookViewId="0">
      <selection activeCell="B8" sqref="B8"/>
    </sheetView>
  </sheetViews>
  <sheetFormatPr defaultRowHeight="14.4" x14ac:dyDescent="0.3"/>
  <cols>
    <col min="1" max="1" width="68.88671875" bestFit="1" customWidth="1"/>
    <col min="2" max="2" width="14.77734375" style="8" bestFit="1" customWidth="1"/>
  </cols>
  <sheetData>
    <row r="3" spans="1:2" x14ac:dyDescent="0.3">
      <c r="A3" s="10" t="s">
        <v>327</v>
      </c>
      <c r="B3" t="s">
        <v>346</v>
      </c>
    </row>
    <row r="4" spans="1:2" x14ac:dyDescent="0.3">
      <c r="A4" s="5" t="s">
        <v>157</v>
      </c>
      <c r="B4" s="1">
        <v>0.61</v>
      </c>
    </row>
    <row r="5" spans="1:2" x14ac:dyDescent="0.3">
      <c r="A5" s="5" t="s">
        <v>35</v>
      </c>
      <c r="B5" s="1">
        <v>0.55000000000000004</v>
      </c>
    </row>
    <row r="6" spans="1:2" x14ac:dyDescent="0.3">
      <c r="A6" s="5" t="s">
        <v>198</v>
      </c>
      <c r="B6" s="1">
        <v>0.55000000000000004</v>
      </c>
    </row>
    <row r="7" spans="1:2" x14ac:dyDescent="0.3">
      <c r="A7" s="5" t="s">
        <v>186</v>
      </c>
      <c r="B7" s="1">
        <v>0.55000000000000004</v>
      </c>
    </row>
    <row r="8" spans="1:2" x14ac:dyDescent="0.3">
      <c r="A8" s="5" t="s">
        <v>85</v>
      </c>
      <c r="B8" s="1">
        <v>0.54</v>
      </c>
    </row>
    <row r="9" spans="1:2" x14ac:dyDescent="0.3">
      <c r="A9" s="5" t="s">
        <v>194</v>
      </c>
      <c r="B9" s="1">
        <v>0.54</v>
      </c>
    </row>
    <row r="10" spans="1:2" x14ac:dyDescent="0.3">
      <c r="A10" s="5" t="s">
        <v>71</v>
      </c>
      <c r="B10" s="1">
        <v>0.53</v>
      </c>
    </row>
    <row r="11" spans="1:2" x14ac:dyDescent="0.3">
      <c r="A11" s="5" t="s">
        <v>120</v>
      </c>
      <c r="B11" s="1">
        <v>0.53</v>
      </c>
    </row>
    <row r="12" spans="1:2" x14ac:dyDescent="0.3">
      <c r="A12" s="5" t="s">
        <v>102</v>
      </c>
      <c r="B12" s="1">
        <v>0.52</v>
      </c>
    </row>
    <row r="13" spans="1:2" x14ac:dyDescent="0.3">
      <c r="A13" s="5" t="s">
        <v>206</v>
      </c>
      <c r="B13" s="1">
        <v>0.52</v>
      </c>
    </row>
    <row r="14" spans="1:2" x14ac:dyDescent="0.3">
      <c r="A14" s="5" t="s">
        <v>329</v>
      </c>
      <c r="B14" s="1">
        <v>0.61</v>
      </c>
    </row>
    <row r="15" spans="1:2" x14ac:dyDescent="0.3">
      <c r="B1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5"/>
  <sheetViews>
    <sheetView workbookViewId="0">
      <selection activeCell="B10" sqref="B10"/>
    </sheetView>
  </sheetViews>
  <sheetFormatPr defaultRowHeight="14.4" x14ac:dyDescent="0.3"/>
  <cols>
    <col min="1" max="1" width="45.21875" bestFit="1" customWidth="1"/>
    <col min="2" max="2" width="14.77734375" bestFit="1" customWidth="1"/>
  </cols>
  <sheetData>
    <row r="3" spans="1:2" x14ac:dyDescent="0.3">
      <c r="A3" s="10" t="s">
        <v>327</v>
      </c>
      <c r="B3" t="s">
        <v>346</v>
      </c>
    </row>
    <row r="4" spans="1:2" x14ac:dyDescent="0.3">
      <c r="A4" s="5" t="s">
        <v>316</v>
      </c>
      <c r="B4" s="11">
        <v>0.01</v>
      </c>
    </row>
    <row r="5" spans="1:2" x14ac:dyDescent="0.3">
      <c r="A5" s="5" t="s">
        <v>329</v>
      </c>
      <c r="B5" s="11">
        <v>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14"/>
  <sheetViews>
    <sheetView workbookViewId="0">
      <selection activeCell="B9" sqref="B9"/>
    </sheetView>
  </sheetViews>
  <sheetFormatPr defaultRowHeight="14.4" x14ac:dyDescent="0.3"/>
  <cols>
    <col min="1" max="1" width="72" bestFit="1" customWidth="1"/>
    <col min="2" max="2" width="17.33203125" bestFit="1" customWidth="1"/>
  </cols>
  <sheetData>
    <row r="3" spans="1:2" x14ac:dyDescent="0.3">
      <c r="A3" s="10" t="s">
        <v>327</v>
      </c>
      <c r="B3" t="s">
        <v>348</v>
      </c>
    </row>
    <row r="4" spans="1:2" x14ac:dyDescent="0.3">
      <c r="A4" s="5" t="s">
        <v>44</v>
      </c>
      <c r="B4" s="11">
        <v>39</v>
      </c>
    </row>
    <row r="5" spans="1:2" x14ac:dyDescent="0.3">
      <c r="A5" s="5" t="s">
        <v>194</v>
      </c>
      <c r="B5" s="11">
        <v>69</v>
      </c>
    </row>
    <row r="6" spans="1:2" x14ac:dyDescent="0.3">
      <c r="A6" s="5" t="s">
        <v>30</v>
      </c>
      <c r="B6" s="11">
        <v>55</v>
      </c>
    </row>
    <row r="7" spans="1:2" x14ac:dyDescent="0.3">
      <c r="A7" s="5" t="s">
        <v>68</v>
      </c>
      <c r="B7" s="11">
        <v>44</v>
      </c>
    </row>
    <row r="8" spans="1:2" x14ac:dyDescent="0.3">
      <c r="A8" s="5" t="s">
        <v>114</v>
      </c>
      <c r="B8" s="11">
        <v>32</v>
      </c>
    </row>
    <row r="9" spans="1:2" x14ac:dyDescent="0.3">
      <c r="A9" s="5" t="s">
        <v>215</v>
      </c>
      <c r="B9" s="11">
        <v>17</v>
      </c>
    </row>
    <row r="10" spans="1:2" x14ac:dyDescent="0.3">
      <c r="A10" s="5" t="s">
        <v>89</v>
      </c>
      <c r="B10" s="11">
        <v>49</v>
      </c>
    </row>
    <row r="11" spans="1:2" x14ac:dyDescent="0.3">
      <c r="A11" s="5" t="s">
        <v>14</v>
      </c>
      <c r="B11" s="11">
        <v>24</v>
      </c>
    </row>
    <row r="12" spans="1:2" x14ac:dyDescent="0.3">
      <c r="A12" s="5" t="s">
        <v>122</v>
      </c>
      <c r="B12" s="11">
        <v>36</v>
      </c>
    </row>
    <row r="13" spans="1:2" x14ac:dyDescent="0.3">
      <c r="A13" s="5" t="s">
        <v>202</v>
      </c>
      <c r="B13" s="11">
        <v>16</v>
      </c>
    </row>
    <row r="14" spans="1:2" x14ac:dyDescent="0.3">
      <c r="A14" s="5" t="s">
        <v>329</v>
      </c>
      <c r="B14" s="11">
        <v>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B9"/>
  <sheetViews>
    <sheetView workbookViewId="0">
      <selection activeCell="E1" sqref="E1"/>
    </sheetView>
  </sheetViews>
  <sheetFormatPr defaultRowHeight="14.4" x14ac:dyDescent="0.3"/>
  <cols>
    <col min="1" max="1" width="63.77734375" bestFit="1" customWidth="1"/>
    <col min="2" max="2" width="23.77734375" bestFit="1" customWidth="1"/>
  </cols>
  <sheetData>
    <row r="3" spans="1:2" x14ac:dyDescent="0.3">
      <c r="A3" s="10" t="s">
        <v>327</v>
      </c>
      <c r="B3" t="s">
        <v>356</v>
      </c>
    </row>
    <row r="4" spans="1:2" x14ac:dyDescent="0.3">
      <c r="A4" s="5" t="s">
        <v>56</v>
      </c>
      <c r="B4" s="11">
        <v>5</v>
      </c>
    </row>
    <row r="5" spans="1:2" x14ac:dyDescent="0.3">
      <c r="A5" s="5" t="s">
        <v>245</v>
      </c>
      <c r="B5" s="11">
        <v>5</v>
      </c>
    </row>
    <row r="6" spans="1:2" x14ac:dyDescent="0.3">
      <c r="A6" s="5" t="s">
        <v>120</v>
      </c>
      <c r="B6" s="11">
        <v>5</v>
      </c>
    </row>
    <row r="7" spans="1:2" x14ac:dyDescent="0.3">
      <c r="A7" s="5" t="s">
        <v>117</v>
      </c>
      <c r="B7" s="11">
        <v>5</v>
      </c>
    </row>
    <row r="8" spans="1:2" x14ac:dyDescent="0.3">
      <c r="A8" s="5" t="s">
        <v>295</v>
      </c>
      <c r="B8" s="11">
        <v>5</v>
      </c>
    </row>
    <row r="9" spans="1:2" x14ac:dyDescent="0.3">
      <c r="A9" s="5" t="s">
        <v>329</v>
      </c>
      <c r="B9" s="11">
        <v>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B9"/>
  <sheetViews>
    <sheetView topLeftCell="A2" workbookViewId="0">
      <selection activeCell="D30" sqref="D29:D30"/>
    </sheetView>
  </sheetViews>
  <sheetFormatPr defaultRowHeight="14.4" x14ac:dyDescent="0.3"/>
  <cols>
    <col min="1" max="1" width="72.44140625" bestFit="1" customWidth="1"/>
    <col min="2" max="2" width="20.44140625" bestFit="1" customWidth="1"/>
  </cols>
  <sheetData>
    <row r="3" spans="1:2" x14ac:dyDescent="0.3">
      <c r="A3" s="10" t="s">
        <v>327</v>
      </c>
      <c r="B3" t="s">
        <v>349</v>
      </c>
    </row>
    <row r="4" spans="1:2" x14ac:dyDescent="0.3">
      <c r="A4" s="5" t="s">
        <v>170</v>
      </c>
      <c r="B4" s="11">
        <v>0</v>
      </c>
    </row>
    <row r="5" spans="1:2" x14ac:dyDescent="0.3">
      <c r="A5" s="5" t="s">
        <v>314</v>
      </c>
      <c r="B5" s="11">
        <v>0</v>
      </c>
    </row>
    <row r="6" spans="1:2" x14ac:dyDescent="0.3">
      <c r="A6" s="5" t="s">
        <v>269</v>
      </c>
      <c r="B6" s="11">
        <v>0</v>
      </c>
    </row>
    <row r="7" spans="1:2" x14ac:dyDescent="0.3">
      <c r="A7" s="5" t="s">
        <v>280</v>
      </c>
      <c r="B7" s="11">
        <v>0</v>
      </c>
    </row>
    <row r="8" spans="1:2" x14ac:dyDescent="0.3">
      <c r="A8" s="5" t="s">
        <v>264</v>
      </c>
      <c r="B8" s="11">
        <v>0</v>
      </c>
    </row>
    <row r="9" spans="1:2" x14ac:dyDescent="0.3">
      <c r="A9" s="5" t="s">
        <v>329</v>
      </c>
      <c r="B9" s="11">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C8"/>
  <sheetViews>
    <sheetView workbookViewId="0">
      <selection activeCell="B16" sqref="B16"/>
    </sheetView>
  </sheetViews>
  <sheetFormatPr defaultRowHeight="14.4" x14ac:dyDescent="0.3"/>
  <cols>
    <col min="1" max="1" width="17.33203125" bestFit="1" customWidth="1"/>
    <col min="2" max="2" width="15.5546875" bestFit="1" customWidth="1"/>
    <col min="3" max="5" width="10.77734375" bestFit="1" customWidth="1"/>
  </cols>
  <sheetData>
    <row r="3" spans="1:3" x14ac:dyDescent="0.3">
      <c r="A3" s="10" t="s">
        <v>348</v>
      </c>
      <c r="B3" s="10" t="s">
        <v>336</v>
      </c>
    </row>
    <row r="4" spans="1:3" x14ac:dyDescent="0.3">
      <c r="A4" s="10" t="s">
        <v>327</v>
      </c>
      <c r="B4" t="s">
        <v>342</v>
      </c>
      <c r="C4" t="s">
        <v>329</v>
      </c>
    </row>
    <row r="5" spans="1:3" x14ac:dyDescent="0.3">
      <c r="A5" s="5" t="s">
        <v>338</v>
      </c>
      <c r="B5" s="11">
        <v>36</v>
      </c>
      <c r="C5" s="11">
        <v>36</v>
      </c>
    </row>
    <row r="6" spans="1:3" x14ac:dyDescent="0.3">
      <c r="A6" s="5" t="s">
        <v>339</v>
      </c>
      <c r="B6" s="11">
        <v>15</v>
      </c>
      <c r="C6" s="11">
        <v>15</v>
      </c>
    </row>
    <row r="7" spans="1:3" x14ac:dyDescent="0.3">
      <c r="A7" s="5" t="s">
        <v>340</v>
      </c>
      <c r="B7" s="11">
        <v>14</v>
      </c>
      <c r="C7" s="11">
        <v>14</v>
      </c>
    </row>
    <row r="8" spans="1:3" x14ac:dyDescent="0.3">
      <c r="A8" s="5" t="s">
        <v>329</v>
      </c>
      <c r="B8" s="11">
        <v>36</v>
      </c>
      <c r="C8" s="11">
        <v>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B5"/>
  <sheetViews>
    <sheetView workbookViewId="0">
      <selection activeCell="G17" sqref="G17"/>
    </sheetView>
  </sheetViews>
  <sheetFormatPr defaultRowHeight="14.4" x14ac:dyDescent="0.3"/>
  <cols>
    <col min="1" max="1" width="64.88671875" bestFit="1" customWidth="1"/>
    <col min="2" max="2" width="18.44140625" bestFit="1" customWidth="1"/>
  </cols>
  <sheetData>
    <row r="3" spans="1:2" x14ac:dyDescent="0.3">
      <c r="A3" s="10" t="s">
        <v>327</v>
      </c>
      <c r="B3" t="s">
        <v>350</v>
      </c>
    </row>
    <row r="4" spans="1:2" x14ac:dyDescent="0.3">
      <c r="A4" s="5" t="s">
        <v>212</v>
      </c>
      <c r="B4" s="11">
        <v>3750</v>
      </c>
    </row>
    <row r="5" spans="1:2" x14ac:dyDescent="0.3">
      <c r="A5" s="5" t="s">
        <v>329</v>
      </c>
      <c r="B5" s="11">
        <v>3750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B5"/>
  <sheetViews>
    <sheetView workbookViewId="0">
      <selection activeCell="D26" sqref="D26"/>
    </sheetView>
  </sheetViews>
  <sheetFormatPr defaultRowHeight="14.4" x14ac:dyDescent="0.3"/>
  <cols>
    <col min="1" max="1" width="45.44140625" bestFit="1" customWidth="1"/>
    <col min="2" max="2" width="18.44140625" bestFit="1" customWidth="1"/>
  </cols>
  <sheetData>
    <row r="3" spans="1:2" x14ac:dyDescent="0.3">
      <c r="A3" s="10" t="s">
        <v>327</v>
      </c>
      <c r="B3" t="s">
        <v>350</v>
      </c>
    </row>
    <row r="4" spans="1:2" x14ac:dyDescent="0.3">
      <c r="A4" s="5" t="s">
        <v>71</v>
      </c>
      <c r="B4" s="11">
        <v>38</v>
      </c>
    </row>
    <row r="5" spans="1:2" x14ac:dyDescent="0.3">
      <c r="A5" s="5" t="s">
        <v>329</v>
      </c>
      <c r="B5" s="11">
        <v>38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3:B7"/>
  <sheetViews>
    <sheetView workbookViewId="0">
      <selection activeCell="O12" sqref="O12"/>
    </sheetView>
  </sheetViews>
  <sheetFormatPr defaultRowHeight="14.4" x14ac:dyDescent="0.3"/>
  <cols>
    <col min="1" max="1" width="12.5546875" bestFit="1" customWidth="1"/>
    <col min="2" max="2" width="21" bestFit="1" customWidth="1"/>
  </cols>
  <sheetData>
    <row r="3" spans="1:2" x14ac:dyDescent="0.3">
      <c r="A3" s="10" t="s">
        <v>327</v>
      </c>
      <c r="B3" t="s">
        <v>352</v>
      </c>
    </row>
    <row r="4" spans="1:2" x14ac:dyDescent="0.3">
      <c r="A4" s="5" t="s">
        <v>342</v>
      </c>
      <c r="B4" s="11">
        <v>8.9090909090909083</v>
      </c>
    </row>
    <row r="5" spans="1:2" x14ac:dyDescent="0.3">
      <c r="A5" s="5" t="s">
        <v>341</v>
      </c>
      <c r="B5" s="11">
        <v>13.608695652173912</v>
      </c>
    </row>
    <row r="6" spans="1:2" x14ac:dyDescent="0.3">
      <c r="A6" s="5" t="s">
        <v>343</v>
      </c>
      <c r="B6" s="11">
        <v>2.640625</v>
      </c>
    </row>
    <row r="7" spans="1:2" x14ac:dyDescent="0.3">
      <c r="A7" s="5" t="s">
        <v>329</v>
      </c>
      <c r="B7" s="11">
        <v>6.2201834862385317</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3:F18"/>
  <sheetViews>
    <sheetView workbookViewId="0">
      <selection activeCell="B16" sqref="B16:B17"/>
    </sheetView>
  </sheetViews>
  <sheetFormatPr defaultRowHeight="14.4" x14ac:dyDescent="0.3"/>
  <cols>
    <col min="1" max="1" width="12.5546875" bestFit="1" customWidth="1"/>
    <col min="2" max="2" width="21" bestFit="1" customWidth="1"/>
  </cols>
  <sheetData>
    <row r="3" spans="1:6" x14ac:dyDescent="0.3">
      <c r="A3" s="10" t="s">
        <v>327</v>
      </c>
      <c r="B3" t="s">
        <v>352</v>
      </c>
    </row>
    <row r="4" spans="1:6" x14ac:dyDescent="0.3">
      <c r="A4" s="5" t="s">
        <v>338</v>
      </c>
      <c r="B4" s="11">
        <v>5.129032258064516</v>
      </c>
    </row>
    <row r="5" spans="1:6" x14ac:dyDescent="0.3">
      <c r="A5" s="5" t="s">
        <v>339</v>
      </c>
      <c r="B5" s="11">
        <v>3.4705882352941178</v>
      </c>
    </row>
    <row r="6" spans="1:6" x14ac:dyDescent="0.3">
      <c r="A6" s="5" t="s">
        <v>340</v>
      </c>
      <c r="B6" s="11">
        <v>10.033333333333333</v>
      </c>
    </row>
    <row r="7" spans="1:6" x14ac:dyDescent="0.3">
      <c r="A7" s="5" t="s">
        <v>329</v>
      </c>
      <c r="B7" s="11">
        <v>6.2201834862385317</v>
      </c>
    </row>
    <row r="15" spans="1:6" ht="36" x14ac:dyDescent="0.35">
      <c r="B15" s="20" t="s">
        <v>353</v>
      </c>
      <c r="C15" s="19"/>
      <c r="D15" s="19"/>
      <c r="E15" s="19"/>
      <c r="F15" s="19"/>
    </row>
    <row r="16" spans="1:6" ht="43.2" x14ac:dyDescent="0.3">
      <c r="B16" s="19" t="s">
        <v>354</v>
      </c>
      <c r="C16" s="19"/>
      <c r="D16" s="19"/>
      <c r="E16" s="19"/>
      <c r="F16" s="19"/>
    </row>
    <row r="17" spans="2:6" ht="43.2" x14ac:dyDescent="0.3">
      <c r="B17" s="19" t="s">
        <v>355</v>
      </c>
      <c r="C17" s="19"/>
      <c r="D17" s="19"/>
      <c r="E17" s="19"/>
      <c r="F17" s="19"/>
    </row>
    <row r="18" spans="2:6" x14ac:dyDescent="0.3">
      <c r="B18" s="19"/>
      <c r="C18" s="19"/>
      <c r="D18" s="19"/>
      <c r="E18" s="19"/>
      <c r="F18" s="19"/>
    </row>
  </sheetData>
  <pageMargins left="0.7" right="0.7" top="0.75" bottom="0.75" header="0.3" footer="0.3"/>
  <pageSetup orientation="portrait"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A4"/>
  <sheetViews>
    <sheetView workbookViewId="0">
      <selection activeCell="A3" sqref="A3"/>
    </sheetView>
  </sheetViews>
  <sheetFormatPr defaultRowHeight="14.4" x14ac:dyDescent="0.3"/>
  <cols>
    <col min="1" max="1" width="17.88671875" bestFit="1" customWidth="1"/>
  </cols>
  <sheetData>
    <row r="3" spans="1:1" x14ac:dyDescent="0.3">
      <c r="A3" t="s">
        <v>344</v>
      </c>
    </row>
    <row r="4" spans="1:1" x14ac:dyDescent="0.3">
      <c r="A4" s="11">
        <v>678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0C82E-B22B-4DFE-8C89-E75B7D0B9287}">
  <dimension ref="A3:B14"/>
  <sheetViews>
    <sheetView workbookViewId="0">
      <selection activeCell="C26" sqref="C26"/>
    </sheetView>
  </sheetViews>
  <sheetFormatPr defaultRowHeight="14.4" x14ac:dyDescent="0.3"/>
  <cols>
    <col min="1" max="1" width="63.77734375" bestFit="1" customWidth="1"/>
    <col min="2" max="2" width="15.44140625" bestFit="1" customWidth="1"/>
    <col min="3" max="109" width="91" bestFit="1" customWidth="1"/>
    <col min="110" max="110" width="10.77734375" bestFit="1" customWidth="1"/>
  </cols>
  <sheetData>
    <row r="3" spans="1:2" x14ac:dyDescent="0.3">
      <c r="A3" s="10" t="s">
        <v>327</v>
      </c>
      <c r="B3" t="s">
        <v>357</v>
      </c>
    </row>
    <row r="4" spans="1:2" x14ac:dyDescent="0.3">
      <c r="A4" s="5" t="s">
        <v>47</v>
      </c>
      <c r="B4" s="11">
        <v>4.8</v>
      </c>
    </row>
    <row r="5" spans="1:2" x14ac:dyDescent="0.3">
      <c r="A5" s="5" t="s">
        <v>56</v>
      </c>
      <c r="B5" s="11">
        <v>5</v>
      </c>
    </row>
    <row r="6" spans="1:2" x14ac:dyDescent="0.3">
      <c r="A6" s="5" t="s">
        <v>245</v>
      </c>
      <c r="B6" s="11">
        <v>5</v>
      </c>
    </row>
    <row r="7" spans="1:2" x14ac:dyDescent="0.3">
      <c r="A7" s="5" t="s">
        <v>120</v>
      </c>
      <c r="B7" s="11">
        <v>5</v>
      </c>
    </row>
    <row r="8" spans="1:2" x14ac:dyDescent="0.3">
      <c r="A8" s="5" t="s">
        <v>117</v>
      </c>
      <c r="B8" s="11">
        <v>5</v>
      </c>
    </row>
    <row r="9" spans="1:2" x14ac:dyDescent="0.3">
      <c r="A9" s="5" t="s">
        <v>295</v>
      </c>
      <c r="B9" s="11">
        <v>5</v>
      </c>
    </row>
    <row r="10" spans="1:2" x14ac:dyDescent="0.3">
      <c r="A10" s="5" t="s">
        <v>63</v>
      </c>
      <c r="B10" s="11">
        <v>5</v>
      </c>
    </row>
    <row r="11" spans="1:2" x14ac:dyDescent="0.3">
      <c r="A11" s="5" t="s">
        <v>35</v>
      </c>
      <c r="B11" s="11">
        <v>4.8</v>
      </c>
    </row>
    <row r="12" spans="1:2" x14ac:dyDescent="0.3">
      <c r="A12" s="5" t="s">
        <v>60</v>
      </c>
      <c r="B12" s="11">
        <v>5</v>
      </c>
    </row>
    <row r="13" spans="1:2" x14ac:dyDescent="0.3">
      <c r="A13" s="5" t="s">
        <v>22</v>
      </c>
      <c r="B13" s="11">
        <v>4.8</v>
      </c>
    </row>
    <row r="14" spans="1:2" x14ac:dyDescent="0.3">
      <c r="A14" s="5" t="s">
        <v>329</v>
      </c>
      <c r="B14" s="11">
        <v>49.399999999999991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22B26-0081-45F1-A6CA-93FBDA87EB16}">
  <dimension ref="A3:B14"/>
  <sheetViews>
    <sheetView workbookViewId="0">
      <selection activeCell="G13" sqref="G13"/>
    </sheetView>
  </sheetViews>
  <sheetFormatPr defaultRowHeight="14.4" x14ac:dyDescent="0.3"/>
  <cols>
    <col min="1" max="1" width="72" bestFit="1" customWidth="1"/>
    <col min="2" max="2" width="17.77734375" bestFit="1" customWidth="1"/>
  </cols>
  <sheetData>
    <row r="3" spans="1:2" x14ac:dyDescent="0.3">
      <c r="A3" s="10" t="s">
        <v>327</v>
      </c>
      <c r="B3" t="s">
        <v>358</v>
      </c>
    </row>
    <row r="4" spans="1:2" x14ac:dyDescent="0.3">
      <c r="A4" s="5" t="s">
        <v>44</v>
      </c>
      <c r="B4" s="11">
        <v>39</v>
      </c>
    </row>
    <row r="5" spans="1:2" x14ac:dyDescent="0.3">
      <c r="A5" s="5" t="s">
        <v>194</v>
      </c>
      <c r="B5" s="11">
        <v>69</v>
      </c>
    </row>
    <row r="6" spans="1:2" x14ac:dyDescent="0.3">
      <c r="A6" s="5" t="s">
        <v>30</v>
      </c>
      <c r="B6" s="11">
        <v>55</v>
      </c>
    </row>
    <row r="7" spans="1:2" x14ac:dyDescent="0.3">
      <c r="A7" s="5" t="s">
        <v>68</v>
      </c>
      <c r="B7" s="11">
        <v>44</v>
      </c>
    </row>
    <row r="8" spans="1:2" x14ac:dyDescent="0.3">
      <c r="A8" s="5" t="s">
        <v>114</v>
      </c>
      <c r="B8" s="11">
        <v>32</v>
      </c>
    </row>
    <row r="9" spans="1:2" x14ac:dyDescent="0.3">
      <c r="A9" s="5" t="s">
        <v>215</v>
      </c>
      <c r="B9" s="11">
        <v>17</v>
      </c>
    </row>
    <row r="10" spans="1:2" x14ac:dyDescent="0.3">
      <c r="A10" s="5" t="s">
        <v>89</v>
      </c>
      <c r="B10" s="11">
        <v>49</v>
      </c>
    </row>
    <row r="11" spans="1:2" x14ac:dyDescent="0.3">
      <c r="A11" s="5" t="s">
        <v>14</v>
      </c>
      <c r="B11" s="11">
        <v>24</v>
      </c>
    </row>
    <row r="12" spans="1:2" x14ac:dyDescent="0.3">
      <c r="A12" s="5" t="s">
        <v>122</v>
      </c>
      <c r="B12" s="11">
        <v>36</v>
      </c>
    </row>
    <row r="13" spans="1:2" x14ac:dyDescent="0.3">
      <c r="A13" s="5" t="s">
        <v>202</v>
      </c>
      <c r="B13" s="11">
        <v>16</v>
      </c>
    </row>
    <row r="14" spans="1:2" x14ac:dyDescent="0.3">
      <c r="A14" s="5" t="s">
        <v>329</v>
      </c>
      <c r="B14" s="11">
        <v>69</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10"/>
  <sheetViews>
    <sheetView zoomScale="90" zoomScaleNormal="90" workbookViewId="0">
      <selection activeCell="A5" sqref="A5"/>
    </sheetView>
  </sheetViews>
  <sheetFormatPr defaultRowHeight="14.4" x14ac:dyDescent="0.3"/>
  <cols>
    <col min="1" max="1" width="66.77734375" customWidth="1"/>
    <col min="2" max="2" width="18.33203125" style="4" bestFit="1" customWidth="1"/>
    <col min="3" max="3" width="18.33203125" style="13" customWidth="1"/>
    <col min="4" max="4" width="18.33203125" style="4" bestFit="1" customWidth="1"/>
    <col min="5" max="5" width="18.33203125" style="16" customWidth="1"/>
    <col min="6" max="6" width="8.109375" style="7" bestFit="1" customWidth="1"/>
    <col min="7" max="7" width="7" bestFit="1" customWidth="1"/>
    <col min="8" max="8" width="11.33203125" customWidth="1"/>
    <col min="9" max="9" width="10.44140625" bestFit="1" customWidth="1"/>
    <col min="10" max="10" width="14.21875" customWidth="1"/>
    <col min="11" max="11" width="14.5546875" style="18" customWidth="1"/>
  </cols>
  <sheetData>
    <row r="1" spans="1:13" x14ac:dyDescent="0.3">
      <c r="A1" s="2" t="s">
        <v>0</v>
      </c>
      <c r="B1" s="3" t="s">
        <v>1</v>
      </c>
      <c r="C1" s="12" t="s">
        <v>347</v>
      </c>
      <c r="D1" s="3" t="s">
        <v>2</v>
      </c>
      <c r="E1" s="15" t="s">
        <v>337</v>
      </c>
      <c r="F1" s="6" t="s">
        <v>3</v>
      </c>
      <c r="G1" s="2" t="s">
        <v>4</v>
      </c>
      <c r="H1" s="2" t="s">
        <v>323</v>
      </c>
      <c r="I1" s="2" t="s">
        <v>5</v>
      </c>
      <c r="J1" s="9" t="s">
        <v>345</v>
      </c>
      <c r="K1" s="17" t="s">
        <v>324</v>
      </c>
      <c r="L1" s="2" t="s">
        <v>325</v>
      </c>
      <c r="M1" s="2" t="s">
        <v>326</v>
      </c>
    </row>
    <row r="2" spans="1:13" x14ac:dyDescent="0.3">
      <c r="A2" t="s">
        <v>212</v>
      </c>
      <c r="B2" s="4">
        <v>3750</v>
      </c>
      <c r="C2" s="13">
        <f>MAX(B:B)</f>
        <v>3750</v>
      </c>
      <c r="D2" s="4">
        <v>6143</v>
      </c>
      <c r="E2" s="16">
        <f t="shared" ref="E2:E33" si="0">(D2-B2)/D2</f>
        <v>0.38954908025394758</v>
      </c>
      <c r="F2" s="7">
        <v>0.45</v>
      </c>
      <c r="G2">
        <v>-5</v>
      </c>
      <c r="H2">
        <f t="shared" ref="H2:H33" si="1">ABS(G2)</f>
        <v>5</v>
      </c>
      <c r="I2" t="s">
        <v>189</v>
      </c>
      <c r="J2">
        <f>VALUE(LEFT(I2, FIND(" ", I2)-1))</f>
        <v>3</v>
      </c>
      <c r="K2" s="18">
        <f t="shared" ref="K2:K33" si="2">D2-B2</f>
        <v>2393</v>
      </c>
      <c r="L2" t="str">
        <f t="shared" ref="L2:L33" si="3">IF(J2&gt;=4.5,"Excellent",IF(J2&gt;=3,"Average","poor"))</f>
        <v>Average</v>
      </c>
      <c r="M2" t="str">
        <f t="shared" ref="M2:M33" si="4">IF(F2&gt;40%,"high",IF(F2&gt;20%,"Medium","Low"))</f>
        <v>high</v>
      </c>
    </row>
    <row r="3" spans="1:13" x14ac:dyDescent="0.3">
      <c r="A3" t="s">
        <v>295</v>
      </c>
      <c r="B3" s="4">
        <v>3640</v>
      </c>
      <c r="C3" s="13">
        <f>MIN(B:B)</f>
        <v>38</v>
      </c>
      <c r="D3" s="4">
        <v>4588</v>
      </c>
      <c r="E3" s="16">
        <f t="shared" si="0"/>
        <v>0.20662598081952921</v>
      </c>
      <c r="F3" s="7">
        <v>0.08</v>
      </c>
      <c r="G3">
        <v>-1</v>
      </c>
      <c r="H3">
        <f t="shared" si="1"/>
        <v>1</v>
      </c>
      <c r="I3" t="s">
        <v>59</v>
      </c>
      <c r="J3">
        <v>5</v>
      </c>
      <c r="K3" s="18">
        <f t="shared" si="2"/>
        <v>948</v>
      </c>
      <c r="L3" t="str">
        <f t="shared" si="3"/>
        <v>Excellent</v>
      </c>
      <c r="M3" t="str">
        <f t="shared" si="4"/>
        <v>Low</v>
      </c>
    </row>
    <row r="4" spans="1:13" x14ac:dyDescent="0.3">
      <c r="A4" t="s">
        <v>287</v>
      </c>
      <c r="B4" s="4">
        <v>3546</v>
      </c>
      <c r="D4" s="4">
        <v>3699</v>
      </c>
      <c r="E4" s="16">
        <f t="shared" si="0"/>
        <v>4.1362530413625302E-2</v>
      </c>
      <c r="F4" s="7">
        <v>0.47</v>
      </c>
      <c r="H4">
        <f t="shared" si="1"/>
        <v>0</v>
      </c>
      <c r="I4">
        <v>0</v>
      </c>
      <c r="J4">
        <v>0</v>
      </c>
      <c r="K4" s="18">
        <f t="shared" si="2"/>
        <v>153</v>
      </c>
      <c r="L4" t="str">
        <f t="shared" si="3"/>
        <v>poor</v>
      </c>
      <c r="M4" t="str">
        <f t="shared" si="4"/>
        <v>high</v>
      </c>
    </row>
    <row r="5" spans="1:13" x14ac:dyDescent="0.3">
      <c r="A5" t="s">
        <v>66</v>
      </c>
      <c r="B5" s="4">
        <v>2999</v>
      </c>
      <c r="D5" s="4">
        <v>3699</v>
      </c>
      <c r="E5" s="16">
        <f t="shared" si="0"/>
        <v>0.18924033522573669</v>
      </c>
      <c r="F5" s="7">
        <v>0.19</v>
      </c>
      <c r="G5">
        <v>-5</v>
      </c>
      <c r="H5">
        <f t="shared" si="1"/>
        <v>5</v>
      </c>
      <c r="I5" t="s">
        <v>17</v>
      </c>
      <c r="J5">
        <f>VALUE(LEFT(I5, FIND(" ", I5)-1))</f>
        <v>4.5999999999999996</v>
      </c>
      <c r="K5" s="18">
        <f t="shared" si="2"/>
        <v>700</v>
      </c>
      <c r="L5" t="str">
        <f t="shared" si="3"/>
        <v>Excellent</v>
      </c>
      <c r="M5" t="str">
        <f t="shared" si="4"/>
        <v>Low</v>
      </c>
    </row>
    <row r="6" spans="1:13" x14ac:dyDescent="0.3">
      <c r="A6" t="s">
        <v>26</v>
      </c>
      <c r="B6" s="4">
        <v>2999</v>
      </c>
      <c r="D6" s="4">
        <v>3290</v>
      </c>
      <c r="E6" s="16">
        <f t="shared" si="0"/>
        <v>8.8449848024316116E-2</v>
      </c>
      <c r="F6" s="7">
        <v>0.09</v>
      </c>
      <c r="G6">
        <v>-15</v>
      </c>
      <c r="H6">
        <f t="shared" si="1"/>
        <v>15</v>
      </c>
      <c r="I6" t="s">
        <v>29</v>
      </c>
      <c r="J6">
        <f>VALUE(LEFT(I6, FIND(" ", I6)-1))</f>
        <v>4</v>
      </c>
      <c r="K6" s="18">
        <f t="shared" si="2"/>
        <v>291</v>
      </c>
      <c r="L6" t="str">
        <f t="shared" si="3"/>
        <v>Average</v>
      </c>
      <c r="M6" t="str">
        <f t="shared" si="4"/>
        <v>Low</v>
      </c>
    </row>
    <row r="7" spans="1:13" x14ac:dyDescent="0.3">
      <c r="A7" t="s">
        <v>92</v>
      </c>
      <c r="B7" s="4">
        <v>2880</v>
      </c>
      <c r="D7" s="4">
        <v>3520</v>
      </c>
      <c r="E7" s="16">
        <f t="shared" si="0"/>
        <v>0.18181818181818182</v>
      </c>
      <c r="F7" s="7">
        <v>0.18</v>
      </c>
      <c r="G7">
        <v>-12</v>
      </c>
      <c r="H7">
        <f t="shared" si="1"/>
        <v>12</v>
      </c>
      <c r="I7" t="s">
        <v>41</v>
      </c>
      <c r="J7">
        <f>VALUE(LEFT(I7, FIND(" ", I7)-1))</f>
        <v>3.8</v>
      </c>
      <c r="K7" s="18">
        <f t="shared" si="2"/>
        <v>640</v>
      </c>
      <c r="L7" t="str">
        <f t="shared" si="3"/>
        <v>Average</v>
      </c>
      <c r="M7" t="str">
        <f t="shared" si="4"/>
        <v>Low</v>
      </c>
    </row>
    <row r="8" spans="1:13" x14ac:dyDescent="0.3">
      <c r="A8" t="s">
        <v>177</v>
      </c>
      <c r="B8" s="4">
        <v>2799</v>
      </c>
      <c r="D8" s="4">
        <v>3810</v>
      </c>
      <c r="E8" s="16">
        <f t="shared" si="0"/>
        <v>0.26535433070866143</v>
      </c>
      <c r="F8" s="7">
        <v>0.49</v>
      </c>
      <c r="H8">
        <f t="shared" si="1"/>
        <v>0</v>
      </c>
      <c r="I8">
        <v>0</v>
      </c>
      <c r="J8">
        <v>0</v>
      </c>
      <c r="K8" s="18">
        <f t="shared" si="2"/>
        <v>1011</v>
      </c>
      <c r="L8" t="str">
        <f t="shared" si="3"/>
        <v>poor</v>
      </c>
      <c r="M8" t="str">
        <f t="shared" si="4"/>
        <v>high</v>
      </c>
    </row>
    <row r="9" spans="1:13" x14ac:dyDescent="0.3">
      <c r="A9" t="s">
        <v>128</v>
      </c>
      <c r="B9" s="4">
        <v>2750</v>
      </c>
      <c r="D9" s="4">
        <v>4471</v>
      </c>
      <c r="E9" s="16">
        <f t="shared" si="0"/>
        <v>0.38492507269067322</v>
      </c>
      <c r="F9" s="7">
        <v>0.38</v>
      </c>
      <c r="H9">
        <f t="shared" si="1"/>
        <v>0</v>
      </c>
      <c r="I9">
        <v>0</v>
      </c>
      <c r="J9">
        <v>0</v>
      </c>
      <c r="K9" s="18">
        <f t="shared" si="2"/>
        <v>1721</v>
      </c>
      <c r="L9" t="str">
        <f t="shared" si="3"/>
        <v>poor</v>
      </c>
      <c r="M9" t="str">
        <f t="shared" si="4"/>
        <v>Medium</v>
      </c>
    </row>
    <row r="10" spans="1:13" x14ac:dyDescent="0.3">
      <c r="A10" t="s">
        <v>30</v>
      </c>
      <c r="B10" s="4">
        <v>2319</v>
      </c>
      <c r="D10" s="4">
        <v>3032</v>
      </c>
      <c r="E10" s="16">
        <f t="shared" si="0"/>
        <v>0.23515831134564644</v>
      </c>
      <c r="F10" s="7">
        <v>0.24</v>
      </c>
      <c r="G10">
        <v>-55</v>
      </c>
      <c r="H10">
        <f t="shared" si="1"/>
        <v>55</v>
      </c>
      <c r="I10" t="s">
        <v>17</v>
      </c>
      <c r="J10">
        <f>VALUE(LEFT(I10, FIND(" ", I10)-1))</f>
        <v>4.5999999999999996</v>
      </c>
      <c r="K10" s="18">
        <f t="shared" si="2"/>
        <v>713</v>
      </c>
      <c r="L10" t="str">
        <f t="shared" si="3"/>
        <v>Excellent</v>
      </c>
      <c r="M10" t="str">
        <f t="shared" si="4"/>
        <v>Medium</v>
      </c>
    </row>
    <row r="11" spans="1:13" x14ac:dyDescent="0.3">
      <c r="A11" t="s">
        <v>218</v>
      </c>
      <c r="B11" s="4">
        <v>2300</v>
      </c>
      <c r="D11" s="4">
        <v>3240</v>
      </c>
      <c r="E11" s="16">
        <f t="shared" si="0"/>
        <v>0.29012345679012347</v>
      </c>
      <c r="F11" s="7">
        <v>0.39</v>
      </c>
      <c r="G11">
        <v>-5</v>
      </c>
      <c r="H11">
        <f t="shared" si="1"/>
        <v>5</v>
      </c>
      <c r="I11" t="s">
        <v>189</v>
      </c>
      <c r="J11">
        <f>VALUE(LEFT(I11, FIND(" ", I11)-1))</f>
        <v>3</v>
      </c>
      <c r="K11" s="18">
        <f t="shared" si="2"/>
        <v>940</v>
      </c>
      <c r="L11" t="str">
        <f t="shared" si="3"/>
        <v>Average</v>
      </c>
      <c r="M11" t="str">
        <f t="shared" si="4"/>
        <v>Medium</v>
      </c>
    </row>
    <row r="12" spans="1:13" x14ac:dyDescent="0.3">
      <c r="A12" t="s">
        <v>99</v>
      </c>
      <c r="B12" s="4">
        <v>2200</v>
      </c>
      <c r="D12" s="4">
        <v>4080</v>
      </c>
      <c r="E12" s="16">
        <f t="shared" si="0"/>
        <v>0.46078431372549017</v>
      </c>
      <c r="F12" s="7">
        <v>0.46</v>
      </c>
      <c r="H12">
        <f t="shared" si="1"/>
        <v>0</v>
      </c>
      <c r="I12">
        <v>0</v>
      </c>
      <c r="J12">
        <v>0</v>
      </c>
      <c r="K12" s="18">
        <f t="shared" si="2"/>
        <v>1880</v>
      </c>
      <c r="L12" t="str">
        <f t="shared" si="3"/>
        <v>poor</v>
      </c>
      <c r="M12" t="str">
        <f t="shared" si="4"/>
        <v>high</v>
      </c>
    </row>
    <row r="13" spans="1:13" x14ac:dyDescent="0.3">
      <c r="A13" t="s">
        <v>14</v>
      </c>
      <c r="B13" s="4">
        <v>2199</v>
      </c>
      <c r="D13" s="4">
        <v>2923</v>
      </c>
      <c r="E13" s="16">
        <f t="shared" si="0"/>
        <v>0.24769072870338693</v>
      </c>
      <c r="F13" s="7">
        <v>0.25</v>
      </c>
      <c r="G13">
        <v>-24</v>
      </c>
      <c r="H13">
        <f t="shared" si="1"/>
        <v>24</v>
      </c>
      <c r="I13" t="s">
        <v>17</v>
      </c>
      <c r="J13">
        <f>VALUE(LEFT(I13, FIND(" ", I13)-1))</f>
        <v>4.5999999999999996</v>
      </c>
      <c r="K13" s="18">
        <f t="shared" si="2"/>
        <v>724</v>
      </c>
      <c r="L13" t="str">
        <f t="shared" si="3"/>
        <v>Excellent</v>
      </c>
      <c r="M13" t="str">
        <f t="shared" si="4"/>
        <v>Medium</v>
      </c>
    </row>
    <row r="14" spans="1:13" x14ac:dyDescent="0.3">
      <c r="A14" t="s">
        <v>182</v>
      </c>
      <c r="B14" s="4">
        <v>2170</v>
      </c>
      <c r="D14" s="4">
        <v>2500</v>
      </c>
      <c r="E14" s="16">
        <f t="shared" si="0"/>
        <v>0.13200000000000001</v>
      </c>
      <c r="F14" s="7">
        <v>0.27</v>
      </c>
      <c r="G14">
        <v>-6</v>
      </c>
      <c r="H14">
        <f t="shared" si="1"/>
        <v>6</v>
      </c>
      <c r="I14" t="s">
        <v>185</v>
      </c>
      <c r="J14">
        <f>VALUE(LEFT(I14, FIND(" ", I14)-1))</f>
        <v>2.5</v>
      </c>
      <c r="K14" s="18">
        <f t="shared" si="2"/>
        <v>330</v>
      </c>
      <c r="L14" t="str">
        <f t="shared" si="3"/>
        <v>poor</v>
      </c>
      <c r="M14" t="str">
        <f t="shared" si="4"/>
        <v>Medium</v>
      </c>
    </row>
    <row r="15" spans="1:13" x14ac:dyDescent="0.3">
      <c r="A15" t="s">
        <v>140</v>
      </c>
      <c r="B15" s="4">
        <v>2132</v>
      </c>
      <c r="D15" s="4">
        <v>2169</v>
      </c>
      <c r="E15" s="16">
        <f t="shared" si="0"/>
        <v>1.705855232826187E-2</v>
      </c>
      <c r="F15" s="7">
        <v>0.42</v>
      </c>
      <c r="H15">
        <f t="shared" si="1"/>
        <v>0</v>
      </c>
      <c r="I15">
        <v>0</v>
      </c>
      <c r="J15">
        <v>0</v>
      </c>
      <c r="K15" s="18">
        <f t="shared" si="2"/>
        <v>37</v>
      </c>
      <c r="L15" t="str">
        <f t="shared" si="3"/>
        <v>poor</v>
      </c>
      <c r="M15" t="str">
        <f t="shared" si="4"/>
        <v>high</v>
      </c>
    </row>
    <row r="16" spans="1:13" x14ac:dyDescent="0.3">
      <c r="A16" t="s">
        <v>190</v>
      </c>
      <c r="B16" s="4">
        <v>2115</v>
      </c>
      <c r="D16" s="4">
        <v>4700</v>
      </c>
      <c r="E16" s="16">
        <f t="shared" si="0"/>
        <v>0.55000000000000004</v>
      </c>
      <c r="F16" s="7">
        <v>0.13</v>
      </c>
      <c r="G16">
        <v>-13</v>
      </c>
      <c r="H16">
        <f t="shared" si="1"/>
        <v>13</v>
      </c>
      <c r="I16" t="s">
        <v>193</v>
      </c>
      <c r="J16">
        <f t="shared" ref="J16:J21" si="5">VALUE(LEFT(I16, FIND(" ", I16)-1))</f>
        <v>2.1</v>
      </c>
      <c r="K16" s="18">
        <f t="shared" si="2"/>
        <v>2585</v>
      </c>
      <c r="L16" t="str">
        <f t="shared" si="3"/>
        <v>poor</v>
      </c>
      <c r="M16" t="str">
        <f t="shared" si="4"/>
        <v>Low</v>
      </c>
    </row>
    <row r="17" spans="1:13" x14ac:dyDescent="0.3">
      <c r="A17" t="s">
        <v>85</v>
      </c>
      <c r="B17" s="4">
        <v>2048</v>
      </c>
      <c r="D17" s="4">
        <v>4500</v>
      </c>
      <c r="E17" s="16">
        <f t="shared" si="0"/>
        <v>0.54488888888888887</v>
      </c>
      <c r="F17" s="7">
        <v>0.54</v>
      </c>
      <c r="G17">
        <v>-7</v>
      </c>
      <c r="H17">
        <f t="shared" si="1"/>
        <v>7</v>
      </c>
      <c r="I17" t="s">
        <v>88</v>
      </c>
      <c r="J17">
        <f t="shared" si="5"/>
        <v>4.3</v>
      </c>
      <c r="K17" s="18">
        <f t="shared" si="2"/>
        <v>2452</v>
      </c>
      <c r="L17" t="str">
        <f t="shared" si="3"/>
        <v>Average</v>
      </c>
      <c r="M17" t="str">
        <f t="shared" si="4"/>
        <v>high</v>
      </c>
    </row>
    <row r="18" spans="1:13" x14ac:dyDescent="0.3">
      <c r="A18" t="s">
        <v>63</v>
      </c>
      <c r="B18" s="4">
        <v>2025</v>
      </c>
      <c r="D18" s="4">
        <v>3971</v>
      </c>
      <c r="E18" s="16">
        <f t="shared" si="0"/>
        <v>0.49005288340468395</v>
      </c>
      <c r="F18" s="7">
        <v>0.49</v>
      </c>
      <c r="G18">
        <v>-3</v>
      </c>
      <c r="H18">
        <f t="shared" si="1"/>
        <v>3</v>
      </c>
      <c r="I18" t="s">
        <v>59</v>
      </c>
      <c r="J18">
        <f t="shared" si="5"/>
        <v>5</v>
      </c>
      <c r="K18" s="18">
        <f t="shared" si="2"/>
        <v>1946</v>
      </c>
      <c r="L18" t="str">
        <f t="shared" si="3"/>
        <v>Excellent</v>
      </c>
      <c r="M18" t="str">
        <f t="shared" si="4"/>
        <v>high</v>
      </c>
    </row>
    <row r="19" spans="1:13" x14ac:dyDescent="0.3">
      <c r="A19" t="s">
        <v>114</v>
      </c>
      <c r="B19" s="4">
        <v>1980</v>
      </c>
      <c r="D19" s="4">
        <v>2699</v>
      </c>
      <c r="E19" s="16">
        <f t="shared" si="0"/>
        <v>0.26639496109670247</v>
      </c>
      <c r="F19" s="7">
        <v>0.27</v>
      </c>
      <c r="G19">
        <v>-32</v>
      </c>
      <c r="H19">
        <f t="shared" si="1"/>
        <v>32</v>
      </c>
      <c r="I19" t="s">
        <v>9</v>
      </c>
      <c r="J19">
        <f t="shared" si="5"/>
        <v>4.5</v>
      </c>
      <c r="K19" s="18">
        <f t="shared" si="2"/>
        <v>719</v>
      </c>
      <c r="L19" t="str">
        <f t="shared" si="3"/>
        <v>Excellent</v>
      </c>
      <c r="M19" t="str">
        <f t="shared" si="4"/>
        <v>Medium</v>
      </c>
    </row>
    <row r="20" spans="1:13" x14ac:dyDescent="0.3">
      <c r="A20" t="s">
        <v>125</v>
      </c>
      <c r="B20" s="4">
        <v>1970</v>
      </c>
      <c r="D20" s="4">
        <v>2000</v>
      </c>
      <c r="E20" s="16">
        <f t="shared" si="0"/>
        <v>1.4999999999999999E-2</v>
      </c>
      <c r="F20" s="7">
        <v>0.38</v>
      </c>
      <c r="G20">
        <v>-2</v>
      </c>
      <c r="H20">
        <f t="shared" si="1"/>
        <v>2</v>
      </c>
      <c r="I20" t="s">
        <v>9</v>
      </c>
      <c r="J20">
        <f t="shared" si="5"/>
        <v>4.5</v>
      </c>
      <c r="K20" s="18">
        <f t="shared" si="2"/>
        <v>30</v>
      </c>
      <c r="L20" t="str">
        <f t="shared" si="3"/>
        <v>Excellent</v>
      </c>
      <c r="M20" t="str">
        <f t="shared" si="4"/>
        <v>Medium</v>
      </c>
    </row>
    <row r="21" spans="1:13" x14ac:dyDescent="0.3">
      <c r="A21" t="s">
        <v>111</v>
      </c>
      <c r="B21" s="4">
        <v>1940</v>
      </c>
      <c r="D21" s="4">
        <v>2650</v>
      </c>
      <c r="E21" s="16">
        <f t="shared" si="0"/>
        <v>0.26792452830188679</v>
      </c>
      <c r="F21" s="7">
        <v>0.27</v>
      </c>
      <c r="G21">
        <v>-2</v>
      </c>
      <c r="H21">
        <f t="shared" si="1"/>
        <v>2</v>
      </c>
      <c r="I21" t="s">
        <v>21</v>
      </c>
      <c r="J21">
        <f t="shared" si="5"/>
        <v>4.7</v>
      </c>
      <c r="K21" s="18">
        <f t="shared" si="2"/>
        <v>710</v>
      </c>
      <c r="L21" t="str">
        <f t="shared" si="3"/>
        <v>Excellent</v>
      </c>
      <c r="M21" t="str">
        <f t="shared" si="4"/>
        <v>Medium</v>
      </c>
    </row>
    <row r="22" spans="1:13" x14ac:dyDescent="0.3">
      <c r="A22" t="s">
        <v>301</v>
      </c>
      <c r="B22" s="4">
        <v>1875</v>
      </c>
      <c r="D22" s="4">
        <v>1899</v>
      </c>
      <c r="E22" s="16">
        <f t="shared" si="0"/>
        <v>1.2638230647709321E-2</v>
      </c>
      <c r="F22" s="7">
        <v>0.49</v>
      </c>
      <c r="H22">
        <f t="shared" si="1"/>
        <v>0</v>
      </c>
      <c r="I22">
        <v>0</v>
      </c>
      <c r="J22">
        <v>0</v>
      </c>
      <c r="K22" s="18">
        <f t="shared" si="2"/>
        <v>24</v>
      </c>
      <c r="L22" t="str">
        <f t="shared" si="3"/>
        <v>poor</v>
      </c>
      <c r="M22" t="str">
        <f t="shared" si="4"/>
        <v>high</v>
      </c>
    </row>
    <row r="23" spans="1:13" x14ac:dyDescent="0.3">
      <c r="A23" t="s">
        <v>75</v>
      </c>
      <c r="B23" s="4">
        <v>1860</v>
      </c>
      <c r="D23" s="4">
        <v>3220</v>
      </c>
      <c r="E23" s="16">
        <f t="shared" si="0"/>
        <v>0.42236024844720499</v>
      </c>
      <c r="F23" s="7">
        <v>0.42</v>
      </c>
      <c r="H23">
        <f t="shared" si="1"/>
        <v>0</v>
      </c>
      <c r="I23">
        <v>0</v>
      </c>
      <c r="J23">
        <v>0</v>
      </c>
      <c r="K23" s="18">
        <f t="shared" si="2"/>
        <v>1360</v>
      </c>
      <c r="L23" t="str">
        <f t="shared" si="3"/>
        <v>poor</v>
      </c>
      <c r="M23" t="str">
        <f t="shared" si="4"/>
        <v>high</v>
      </c>
    </row>
    <row r="24" spans="1:13" x14ac:dyDescent="0.3">
      <c r="A24" t="s">
        <v>108</v>
      </c>
      <c r="B24" s="4">
        <v>1820</v>
      </c>
      <c r="D24" s="4">
        <v>3490</v>
      </c>
      <c r="E24" s="16">
        <f t="shared" si="0"/>
        <v>0.47851002865329512</v>
      </c>
      <c r="F24" s="7">
        <v>0.48</v>
      </c>
      <c r="G24">
        <v>-9</v>
      </c>
      <c r="H24">
        <f t="shared" si="1"/>
        <v>9</v>
      </c>
      <c r="I24" t="s">
        <v>88</v>
      </c>
      <c r="J24">
        <f>VALUE(LEFT(I24, FIND(" ", I24)-1))</f>
        <v>4.3</v>
      </c>
      <c r="K24" s="18">
        <f t="shared" si="2"/>
        <v>1670</v>
      </c>
      <c r="L24" t="str">
        <f t="shared" si="3"/>
        <v>Average</v>
      </c>
      <c r="M24" t="str">
        <f t="shared" si="4"/>
        <v>high</v>
      </c>
    </row>
    <row r="25" spans="1:13" x14ac:dyDescent="0.3">
      <c r="A25" t="s">
        <v>314</v>
      </c>
      <c r="B25" s="4">
        <v>1768</v>
      </c>
      <c r="D25" s="4">
        <v>1799</v>
      </c>
      <c r="E25" s="16">
        <f t="shared" si="0"/>
        <v>1.7231795441912175E-2</v>
      </c>
      <c r="F25" s="7">
        <v>0.41</v>
      </c>
      <c r="H25">
        <f t="shared" si="1"/>
        <v>0</v>
      </c>
      <c r="I25">
        <v>0</v>
      </c>
      <c r="J25">
        <v>0</v>
      </c>
      <c r="K25" s="18">
        <f t="shared" si="2"/>
        <v>31</v>
      </c>
      <c r="L25" t="str">
        <f t="shared" si="3"/>
        <v>poor</v>
      </c>
      <c r="M25" t="str">
        <f t="shared" si="4"/>
        <v>high</v>
      </c>
    </row>
    <row r="26" spans="1:13" x14ac:dyDescent="0.3">
      <c r="A26" t="s">
        <v>97</v>
      </c>
      <c r="B26" s="4">
        <v>1758</v>
      </c>
      <c r="D26" s="4">
        <v>2499</v>
      </c>
      <c r="E26" s="16">
        <f t="shared" si="0"/>
        <v>0.2965186074429772</v>
      </c>
      <c r="F26" s="7">
        <v>0.3</v>
      </c>
      <c r="G26">
        <v>-2</v>
      </c>
      <c r="H26">
        <f t="shared" si="1"/>
        <v>2</v>
      </c>
      <c r="I26" t="s">
        <v>13</v>
      </c>
      <c r="J26">
        <f>VALUE(LEFT(I26, FIND(" ", I26)-1))</f>
        <v>4.0999999999999996</v>
      </c>
      <c r="K26" s="18">
        <f t="shared" si="2"/>
        <v>741</v>
      </c>
      <c r="L26" t="str">
        <f t="shared" si="3"/>
        <v>Average</v>
      </c>
      <c r="M26" t="str">
        <f t="shared" si="4"/>
        <v>Medium</v>
      </c>
    </row>
    <row r="27" spans="1:13" x14ac:dyDescent="0.3">
      <c r="A27" t="s">
        <v>22</v>
      </c>
      <c r="B27" s="4">
        <v>1740</v>
      </c>
      <c r="D27" s="4">
        <v>2356</v>
      </c>
      <c r="E27" s="16">
        <f t="shared" si="0"/>
        <v>0.26146010186757218</v>
      </c>
      <c r="F27" s="7">
        <v>0.26</v>
      </c>
      <c r="G27">
        <v>-5</v>
      </c>
      <c r="H27">
        <f t="shared" si="1"/>
        <v>5</v>
      </c>
      <c r="I27" t="s">
        <v>25</v>
      </c>
      <c r="J27">
        <f>VALUE(LEFT(I27, FIND(" ", I27)-1))</f>
        <v>4.8</v>
      </c>
      <c r="K27" s="18">
        <f t="shared" si="2"/>
        <v>616</v>
      </c>
      <c r="L27" t="str">
        <f t="shared" si="3"/>
        <v>Excellent</v>
      </c>
      <c r="M27" t="str">
        <f t="shared" si="4"/>
        <v>Medium</v>
      </c>
    </row>
    <row r="28" spans="1:13" x14ac:dyDescent="0.3">
      <c r="A28" t="s">
        <v>237</v>
      </c>
      <c r="B28" s="4">
        <v>1732</v>
      </c>
      <c r="D28" s="4">
        <v>1799</v>
      </c>
      <c r="E28" s="16">
        <f t="shared" si="0"/>
        <v>3.7242912729294052E-2</v>
      </c>
      <c r="F28" s="7">
        <v>0.47</v>
      </c>
      <c r="H28">
        <f t="shared" si="1"/>
        <v>0</v>
      </c>
      <c r="I28">
        <v>0</v>
      </c>
      <c r="J28">
        <v>0</v>
      </c>
      <c r="K28" s="18">
        <f t="shared" si="2"/>
        <v>67</v>
      </c>
      <c r="L28" t="str">
        <f t="shared" si="3"/>
        <v>poor</v>
      </c>
      <c r="M28" t="str">
        <f t="shared" si="4"/>
        <v>high</v>
      </c>
    </row>
    <row r="29" spans="1:13" x14ac:dyDescent="0.3">
      <c r="A29" t="s">
        <v>53</v>
      </c>
      <c r="B29" s="4">
        <v>1680</v>
      </c>
      <c r="D29" s="4">
        <v>2499</v>
      </c>
      <c r="E29" s="16">
        <f t="shared" si="0"/>
        <v>0.32773109243697479</v>
      </c>
      <c r="F29" s="7">
        <v>0.33</v>
      </c>
      <c r="G29">
        <v>-9</v>
      </c>
      <c r="H29">
        <f t="shared" si="1"/>
        <v>9</v>
      </c>
      <c r="I29" t="s">
        <v>55</v>
      </c>
      <c r="J29">
        <f>VALUE(LEFT(I29, FIND(" ", I29)-1))</f>
        <v>4.2</v>
      </c>
      <c r="K29" s="18">
        <f t="shared" si="2"/>
        <v>819</v>
      </c>
      <c r="L29" t="str">
        <f t="shared" si="3"/>
        <v>Average</v>
      </c>
      <c r="M29" t="str">
        <f t="shared" si="4"/>
        <v>Medium</v>
      </c>
    </row>
    <row r="30" spans="1:13" x14ac:dyDescent="0.3">
      <c r="A30" t="s">
        <v>251</v>
      </c>
      <c r="B30" s="4">
        <v>1666</v>
      </c>
      <c r="D30" s="4">
        <v>1699</v>
      </c>
      <c r="E30" s="16">
        <f t="shared" si="0"/>
        <v>1.9423190111830489E-2</v>
      </c>
      <c r="F30" s="7">
        <v>0.49</v>
      </c>
      <c r="H30">
        <f t="shared" si="1"/>
        <v>0</v>
      </c>
      <c r="I30">
        <v>0</v>
      </c>
      <c r="J30">
        <v>0</v>
      </c>
      <c r="K30" s="18">
        <f t="shared" si="2"/>
        <v>33</v>
      </c>
      <c r="L30" t="str">
        <f t="shared" si="3"/>
        <v>poor</v>
      </c>
      <c r="M30" t="str">
        <f t="shared" si="4"/>
        <v>high</v>
      </c>
    </row>
    <row r="31" spans="1:13" x14ac:dyDescent="0.3">
      <c r="A31" t="s">
        <v>160</v>
      </c>
      <c r="B31" s="4">
        <v>1660</v>
      </c>
      <c r="D31" s="4">
        <v>1699</v>
      </c>
      <c r="E31" s="16">
        <f t="shared" si="0"/>
        <v>2.2954679223072396E-2</v>
      </c>
      <c r="F31" s="7">
        <v>0.5</v>
      </c>
      <c r="H31">
        <f t="shared" si="1"/>
        <v>0</v>
      </c>
      <c r="I31">
        <v>0</v>
      </c>
      <c r="J31">
        <v>0</v>
      </c>
      <c r="K31" s="18">
        <f t="shared" si="2"/>
        <v>39</v>
      </c>
      <c r="L31" t="str">
        <f t="shared" si="3"/>
        <v>poor</v>
      </c>
      <c r="M31" t="str">
        <f t="shared" si="4"/>
        <v>high</v>
      </c>
    </row>
    <row r="32" spans="1:13" x14ac:dyDescent="0.3">
      <c r="A32" t="s">
        <v>312</v>
      </c>
      <c r="B32" s="4">
        <v>1658</v>
      </c>
      <c r="D32" s="4">
        <v>1699</v>
      </c>
      <c r="E32" s="16">
        <f t="shared" si="0"/>
        <v>2.4131842260153032E-2</v>
      </c>
      <c r="F32" s="7">
        <v>0.21</v>
      </c>
      <c r="H32">
        <f t="shared" si="1"/>
        <v>0</v>
      </c>
      <c r="I32">
        <v>0</v>
      </c>
      <c r="J32">
        <v>0</v>
      </c>
      <c r="K32" s="18">
        <f t="shared" si="2"/>
        <v>41</v>
      </c>
      <c r="L32" t="str">
        <f t="shared" si="3"/>
        <v>poor</v>
      </c>
      <c r="M32" t="str">
        <f t="shared" si="4"/>
        <v>Medium</v>
      </c>
    </row>
    <row r="33" spans="1:13" x14ac:dyDescent="0.3">
      <c r="A33" t="s">
        <v>81</v>
      </c>
      <c r="B33" s="4">
        <v>1650</v>
      </c>
      <c r="D33" s="4">
        <v>2150</v>
      </c>
      <c r="E33" s="16">
        <f t="shared" si="0"/>
        <v>0.23255813953488372</v>
      </c>
      <c r="F33" s="7">
        <v>0.23</v>
      </c>
      <c r="G33">
        <v>-14</v>
      </c>
      <c r="H33">
        <f t="shared" si="1"/>
        <v>14</v>
      </c>
      <c r="I33" t="s">
        <v>84</v>
      </c>
      <c r="J33">
        <f>VALUE(LEFT(I33, FIND(" ", I33)-1))</f>
        <v>4.4000000000000004</v>
      </c>
      <c r="K33" s="18">
        <f t="shared" si="2"/>
        <v>500</v>
      </c>
      <c r="L33" t="str">
        <f t="shared" si="3"/>
        <v>Average</v>
      </c>
      <c r="M33" t="str">
        <f t="shared" si="4"/>
        <v>Medium</v>
      </c>
    </row>
    <row r="34" spans="1:13" x14ac:dyDescent="0.3">
      <c r="A34" t="s">
        <v>117</v>
      </c>
      <c r="B34" s="4">
        <v>1620</v>
      </c>
      <c r="D34" s="4">
        <v>2690</v>
      </c>
      <c r="E34" s="16">
        <f t="shared" ref="E34:E65" si="6">(D34-B34)/D34</f>
        <v>0.39776951672862454</v>
      </c>
      <c r="F34" s="7">
        <v>0.4</v>
      </c>
      <c r="G34">
        <v>-1</v>
      </c>
      <c r="H34">
        <f t="shared" ref="H34:H65" si="7">ABS(G34)</f>
        <v>1</v>
      </c>
      <c r="I34" t="s">
        <v>59</v>
      </c>
      <c r="J34">
        <f>VALUE(LEFT(I34, FIND(" ", I34)-1))</f>
        <v>5</v>
      </c>
      <c r="K34" s="18">
        <f t="shared" ref="K34:K65" si="8">D34-B34</f>
        <v>1070</v>
      </c>
      <c r="L34" t="str">
        <f t="shared" ref="L34:L65" si="9">IF(J34&gt;=4.5,"Excellent",IF(J34&gt;=3,"Average","poor"))</f>
        <v>Excellent</v>
      </c>
      <c r="M34" t="str">
        <f t="shared" ref="M34:M65" si="10">IF(F34&gt;40%,"high",IF(F34&gt;20%,"Medium","Low"))</f>
        <v>Medium</v>
      </c>
    </row>
    <row r="35" spans="1:13" x14ac:dyDescent="0.3">
      <c r="A35" t="s">
        <v>38</v>
      </c>
      <c r="B35" s="4">
        <v>1600</v>
      </c>
      <c r="D35" s="4">
        <v>2929</v>
      </c>
      <c r="E35" s="16">
        <f t="shared" si="6"/>
        <v>0.45373847729600547</v>
      </c>
      <c r="F35" s="7">
        <v>0.45</v>
      </c>
      <c r="G35">
        <v>-5</v>
      </c>
      <c r="H35">
        <f t="shared" si="7"/>
        <v>5</v>
      </c>
      <c r="I35" t="s">
        <v>41</v>
      </c>
      <c r="J35">
        <f>VALUE(LEFT(I35, FIND(" ", I35)-1))</f>
        <v>3.8</v>
      </c>
      <c r="K35" s="18">
        <f t="shared" si="8"/>
        <v>1329</v>
      </c>
      <c r="L35" t="str">
        <f t="shared" si="9"/>
        <v>Average</v>
      </c>
      <c r="M35" t="str">
        <f t="shared" si="10"/>
        <v>high</v>
      </c>
    </row>
    <row r="36" spans="1:13" x14ac:dyDescent="0.3">
      <c r="A36" t="s">
        <v>18</v>
      </c>
      <c r="B36" s="4">
        <v>1580</v>
      </c>
      <c r="D36" s="4">
        <v>2499</v>
      </c>
      <c r="E36" s="16">
        <f t="shared" si="6"/>
        <v>0.36774709883953582</v>
      </c>
      <c r="F36" s="7">
        <v>0.37</v>
      </c>
      <c r="G36">
        <v>-7</v>
      </c>
      <c r="H36">
        <f t="shared" si="7"/>
        <v>7</v>
      </c>
      <c r="I36" t="s">
        <v>21</v>
      </c>
      <c r="J36">
        <f>VALUE(LEFT(I36, FIND(" ", I36)-1))</f>
        <v>4.7</v>
      </c>
      <c r="K36" s="18">
        <f t="shared" si="8"/>
        <v>919</v>
      </c>
      <c r="L36" t="str">
        <f t="shared" si="9"/>
        <v>Excellent</v>
      </c>
      <c r="M36" t="str">
        <f t="shared" si="10"/>
        <v>Medium</v>
      </c>
    </row>
    <row r="37" spans="1:13" x14ac:dyDescent="0.3">
      <c r="A37" t="s">
        <v>229</v>
      </c>
      <c r="B37" s="4">
        <v>1570</v>
      </c>
      <c r="D37" s="4">
        <v>2988</v>
      </c>
      <c r="E37" s="16">
        <f t="shared" si="6"/>
        <v>0.4745649263721553</v>
      </c>
      <c r="F37" s="7">
        <v>0.43</v>
      </c>
      <c r="G37">
        <v>-7</v>
      </c>
      <c r="H37">
        <f t="shared" si="7"/>
        <v>7</v>
      </c>
      <c r="I37" t="s">
        <v>193</v>
      </c>
      <c r="J37">
        <f>VALUE(LEFT(I37, FIND(" ", I37)-1))</f>
        <v>2.1</v>
      </c>
      <c r="K37" s="18">
        <f t="shared" si="8"/>
        <v>1418</v>
      </c>
      <c r="L37" t="str">
        <f t="shared" si="9"/>
        <v>poor</v>
      </c>
      <c r="M37" t="str">
        <f t="shared" si="10"/>
        <v>high</v>
      </c>
    </row>
    <row r="38" spans="1:13" x14ac:dyDescent="0.3">
      <c r="A38" t="s">
        <v>280</v>
      </c>
      <c r="B38" s="4">
        <v>1526</v>
      </c>
      <c r="D38" s="4">
        <v>1660</v>
      </c>
      <c r="E38" s="16">
        <f t="shared" si="6"/>
        <v>8.0722891566265054E-2</v>
      </c>
      <c r="F38" s="7">
        <v>0.5</v>
      </c>
      <c r="H38">
        <f t="shared" si="7"/>
        <v>0</v>
      </c>
      <c r="I38">
        <v>0</v>
      </c>
      <c r="J38">
        <v>0</v>
      </c>
      <c r="K38" s="18">
        <f t="shared" si="8"/>
        <v>134</v>
      </c>
      <c r="L38" t="str">
        <f t="shared" si="9"/>
        <v>poor</v>
      </c>
      <c r="M38" t="str">
        <f t="shared" si="10"/>
        <v>high</v>
      </c>
    </row>
    <row r="39" spans="1:13" x14ac:dyDescent="0.3">
      <c r="A39" t="s">
        <v>264</v>
      </c>
      <c r="B39" s="4">
        <v>1468</v>
      </c>
      <c r="D39" s="4">
        <v>1699</v>
      </c>
      <c r="E39" s="16">
        <f t="shared" si="6"/>
        <v>0.13596233078281342</v>
      </c>
      <c r="F39" s="7">
        <v>0.49</v>
      </c>
      <c r="H39">
        <f t="shared" si="7"/>
        <v>0</v>
      </c>
      <c r="I39">
        <v>0</v>
      </c>
      <c r="J39">
        <v>0</v>
      </c>
      <c r="K39" s="18">
        <f t="shared" si="8"/>
        <v>231</v>
      </c>
      <c r="L39" t="str">
        <f t="shared" si="9"/>
        <v>poor</v>
      </c>
      <c r="M39" t="str">
        <f t="shared" si="10"/>
        <v>high</v>
      </c>
    </row>
    <row r="40" spans="1:13" x14ac:dyDescent="0.3">
      <c r="A40" t="s">
        <v>256</v>
      </c>
      <c r="B40" s="4">
        <v>1466</v>
      </c>
      <c r="D40" s="4">
        <v>1699</v>
      </c>
      <c r="E40" s="16">
        <f t="shared" si="6"/>
        <v>0.13713949381989404</v>
      </c>
      <c r="F40" s="7">
        <v>0.02</v>
      </c>
      <c r="H40">
        <f t="shared" si="7"/>
        <v>0</v>
      </c>
      <c r="I40">
        <v>0</v>
      </c>
      <c r="J40">
        <v>0</v>
      </c>
      <c r="K40" s="18">
        <f t="shared" si="8"/>
        <v>233</v>
      </c>
      <c r="L40" t="str">
        <f t="shared" si="9"/>
        <v>poor</v>
      </c>
      <c r="M40" t="str">
        <f t="shared" si="10"/>
        <v>Low</v>
      </c>
    </row>
    <row r="41" spans="1:13" x14ac:dyDescent="0.3">
      <c r="A41" t="s">
        <v>282</v>
      </c>
      <c r="B41" s="4">
        <v>1462</v>
      </c>
      <c r="D41" s="4">
        <v>1499</v>
      </c>
      <c r="E41" s="16">
        <f t="shared" si="6"/>
        <v>2.4683122081387593E-2</v>
      </c>
      <c r="F41" s="7">
        <v>0.48</v>
      </c>
      <c r="H41">
        <f t="shared" si="7"/>
        <v>0</v>
      </c>
      <c r="I41">
        <v>0</v>
      </c>
      <c r="J41">
        <v>0</v>
      </c>
      <c r="K41" s="18">
        <f t="shared" si="8"/>
        <v>37</v>
      </c>
      <c r="L41" t="str">
        <f t="shared" si="9"/>
        <v>poor</v>
      </c>
      <c r="M41" t="str">
        <f t="shared" si="10"/>
        <v>high</v>
      </c>
    </row>
    <row r="42" spans="1:13" x14ac:dyDescent="0.3">
      <c r="A42" t="s">
        <v>248</v>
      </c>
      <c r="B42" s="4">
        <v>1460</v>
      </c>
      <c r="D42" s="4">
        <v>2290</v>
      </c>
      <c r="E42" s="16">
        <f t="shared" si="6"/>
        <v>0.36244541484716158</v>
      </c>
      <c r="F42" s="7">
        <v>0.46</v>
      </c>
      <c r="H42">
        <f t="shared" si="7"/>
        <v>0</v>
      </c>
      <c r="I42">
        <v>0</v>
      </c>
      <c r="J42">
        <v>0</v>
      </c>
      <c r="K42" s="18">
        <f t="shared" si="8"/>
        <v>830</v>
      </c>
      <c r="L42" t="str">
        <f t="shared" si="9"/>
        <v>poor</v>
      </c>
      <c r="M42" t="str">
        <f t="shared" si="10"/>
        <v>high</v>
      </c>
    </row>
    <row r="43" spans="1:13" x14ac:dyDescent="0.3">
      <c r="A43" t="s">
        <v>165</v>
      </c>
      <c r="B43" s="4">
        <v>1459</v>
      </c>
      <c r="D43" s="4">
        <v>1499</v>
      </c>
      <c r="E43" s="16">
        <f t="shared" si="6"/>
        <v>2.6684456304202801E-2</v>
      </c>
      <c r="F43" s="7">
        <v>0.22</v>
      </c>
      <c r="H43">
        <f t="shared" si="7"/>
        <v>0</v>
      </c>
      <c r="I43">
        <v>0</v>
      </c>
      <c r="J43">
        <v>0</v>
      </c>
      <c r="K43" s="18">
        <f t="shared" si="8"/>
        <v>40</v>
      </c>
      <c r="L43" t="str">
        <f t="shared" si="9"/>
        <v>poor</v>
      </c>
      <c r="M43" t="str">
        <f t="shared" si="10"/>
        <v>Medium</v>
      </c>
    </row>
    <row r="44" spans="1:13" x14ac:dyDescent="0.3">
      <c r="A44" t="s">
        <v>298</v>
      </c>
      <c r="B44" s="4">
        <v>1420</v>
      </c>
      <c r="D44" s="4">
        <v>2420</v>
      </c>
      <c r="E44" s="16">
        <f t="shared" si="6"/>
        <v>0.41322314049586778</v>
      </c>
      <c r="F44" s="7">
        <v>0.02</v>
      </c>
      <c r="H44">
        <f t="shared" si="7"/>
        <v>0</v>
      </c>
      <c r="I44">
        <v>0</v>
      </c>
      <c r="J44">
        <v>0</v>
      </c>
      <c r="K44" s="18">
        <f t="shared" si="8"/>
        <v>1000</v>
      </c>
      <c r="L44" t="str">
        <f t="shared" si="9"/>
        <v>poor</v>
      </c>
      <c r="M44" t="str">
        <f t="shared" si="10"/>
        <v>Low</v>
      </c>
    </row>
    <row r="45" spans="1:13" x14ac:dyDescent="0.3">
      <c r="A45" t="s">
        <v>95</v>
      </c>
      <c r="B45" s="4">
        <v>1350</v>
      </c>
      <c r="D45" s="4">
        <v>1990</v>
      </c>
      <c r="E45" s="16">
        <f t="shared" si="6"/>
        <v>0.32160804020100503</v>
      </c>
      <c r="F45" s="7">
        <v>0.32</v>
      </c>
      <c r="G45">
        <v>-13</v>
      </c>
      <c r="H45">
        <f t="shared" si="7"/>
        <v>13</v>
      </c>
      <c r="I45" t="s">
        <v>41</v>
      </c>
      <c r="J45">
        <f>VALUE(LEFT(I45, FIND(" ", I45)-1))</f>
        <v>3.8</v>
      </c>
      <c r="K45" s="18">
        <f t="shared" si="8"/>
        <v>640</v>
      </c>
      <c r="L45" t="str">
        <f t="shared" si="9"/>
        <v>Average</v>
      </c>
      <c r="M45" t="str">
        <f t="shared" si="10"/>
        <v>Medium</v>
      </c>
    </row>
    <row r="46" spans="1:13" x14ac:dyDescent="0.3">
      <c r="A46" t="s">
        <v>272</v>
      </c>
      <c r="B46" s="4">
        <v>1300</v>
      </c>
      <c r="D46" s="4">
        <v>2500</v>
      </c>
      <c r="E46" s="16">
        <f t="shared" si="6"/>
        <v>0.48</v>
      </c>
      <c r="F46" s="7">
        <v>0.11</v>
      </c>
      <c r="H46">
        <f t="shared" si="7"/>
        <v>0</v>
      </c>
      <c r="I46">
        <v>0</v>
      </c>
      <c r="J46">
        <v>0</v>
      </c>
      <c r="K46" s="18">
        <f t="shared" si="8"/>
        <v>1200</v>
      </c>
      <c r="L46" t="str">
        <f t="shared" si="9"/>
        <v>poor</v>
      </c>
      <c r="M46" t="str">
        <f t="shared" si="10"/>
        <v>Low</v>
      </c>
    </row>
    <row r="47" spans="1:13" x14ac:dyDescent="0.3">
      <c r="A47" t="s">
        <v>35</v>
      </c>
      <c r="B47" s="4">
        <v>1274</v>
      </c>
      <c r="D47" s="4">
        <v>2800</v>
      </c>
      <c r="E47" s="16">
        <f t="shared" si="6"/>
        <v>0.54500000000000004</v>
      </c>
      <c r="F47" s="7">
        <v>0.55000000000000004</v>
      </c>
      <c r="G47">
        <v>-5</v>
      </c>
      <c r="H47">
        <f t="shared" si="7"/>
        <v>5</v>
      </c>
      <c r="I47" t="s">
        <v>25</v>
      </c>
      <c r="J47">
        <f>VALUE(LEFT(I47, FIND(" ", I47)-1))</f>
        <v>4.8</v>
      </c>
      <c r="K47" s="18">
        <f t="shared" si="8"/>
        <v>1526</v>
      </c>
      <c r="L47" t="str">
        <f t="shared" si="9"/>
        <v>Excellent</v>
      </c>
      <c r="M47" t="str">
        <f t="shared" si="10"/>
        <v>high</v>
      </c>
    </row>
    <row r="48" spans="1:13" x14ac:dyDescent="0.3">
      <c r="A48" t="s">
        <v>202</v>
      </c>
      <c r="B48" s="4">
        <v>1220</v>
      </c>
      <c r="D48" s="4">
        <v>1555</v>
      </c>
      <c r="E48" s="16">
        <f t="shared" si="6"/>
        <v>0.21543408360128619</v>
      </c>
      <c r="F48" s="7">
        <v>0.49</v>
      </c>
      <c r="G48">
        <v>-16</v>
      </c>
      <c r="H48">
        <f t="shared" si="7"/>
        <v>16</v>
      </c>
      <c r="I48" t="s">
        <v>205</v>
      </c>
      <c r="J48">
        <f>VALUE(LEFT(I48, FIND(" ", I48)-1))</f>
        <v>2.9</v>
      </c>
      <c r="K48" s="18">
        <f t="shared" si="8"/>
        <v>335</v>
      </c>
      <c r="L48" t="str">
        <f t="shared" si="9"/>
        <v>poor</v>
      </c>
      <c r="M48" t="str">
        <f t="shared" si="10"/>
        <v>high</v>
      </c>
    </row>
    <row r="49" spans="1:13" x14ac:dyDescent="0.3">
      <c r="A49" t="s">
        <v>151</v>
      </c>
      <c r="B49" s="4">
        <v>1200</v>
      </c>
      <c r="D49" s="4">
        <v>1950</v>
      </c>
      <c r="E49" s="16">
        <f t="shared" si="6"/>
        <v>0.38461538461538464</v>
      </c>
      <c r="F49" s="7">
        <v>0.49</v>
      </c>
      <c r="H49">
        <f t="shared" si="7"/>
        <v>0</v>
      </c>
      <c r="I49">
        <v>0</v>
      </c>
      <c r="J49">
        <v>0</v>
      </c>
      <c r="K49" s="18">
        <f t="shared" si="8"/>
        <v>750</v>
      </c>
      <c r="L49" t="str">
        <f t="shared" si="9"/>
        <v>poor</v>
      </c>
      <c r="M49" t="str">
        <f t="shared" si="10"/>
        <v>high</v>
      </c>
    </row>
    <row r="50" spans="1:13" x14ac:dyDescent="0.3">
      <c r="A50" t="s">
        <v>278</v>
      </c>
      <c r="B50" s="4">
        <v>1200</v>
      </c>
      <c r="D50" s="4">
        <v>2400</v>
      </c>
      <c r="E50" s="16">
        <f t="shared" si="6"/>
        <v>0.5</v>
      </c>
      <c r="F50" s="7">
        <v>0.43</v>
      </c>
      <c r="H50">
        <f t="shared" si="7"/>
        <v>0</v>
      </c>
      <c r="I50">
        <v>0</v>
      </c>
      <c r="J50">
        <v>0</v>
      </c>
      <c r="K50" s="18">
        <f t="shared" si="8"/>
        <v>1200</v>
      </c>
      <c r="L50" t="str">
        <f t="shared" si="9"/>
        <v>poor</v>
      </c>
      <c r="M50" t="str">
        <f t="shared" si="10"/>
        <v>high</v>
      </c>
    </row>
    <row r="51" spans="1:13" x14ac:dyDescent="0.3">
      <c r="A51" t="s">
        <v>145</v>
      </c>
      <c r="B51" s="4">
        <v>1190</v>
      </c>
      <c r="D51" s="4">
        <v>1785</v>
      </c>
      <c r="E51" s="16">
        <f t="shared" si="6"/>
        <v>0.33333333333333331</v>
      </c>
      <c r="F51" s="7">
        <v>0.5</v>
      </c>
      <c r="H51">
        <f t="shared" si="7"/>
        <v>0</v>
      </c>
      <c r="I51">
        <v>0</v>
      </c>
      <c r="J51">
        <v>0</v>
      </c>
      <c r="K51" s="18">
        <f t="shared" si="8"/>
        <v>595</v>
      </c>
      <c r="L51" t="str">
        <f t="shared" si="9"/>
        <v>poor</v>
      </c>
      <c r="M51" t="str">
        <f t="shared" si="10"/>
        <v>high</v>
      </c>
    </row>
    <row r="52" spans="1:13" x14ac:dyDescent="0.3">
      <c r="A52" t="s">
        <v>310</v>
      </c>
      <c r="B52" s="4">
        <v>1190</v>
      </c>
      <c r="D52" s="4">
        <v>1810</v>
      </c>
      <c r="E52" s="16">
        <f t="shared" si="6"/>
        <v>0.34254143646408841</v>
      </c>
      <c r="F52" s="7">
        <v>0.42</v>
      </c>
      <c r="H52">
        <f t="shared" si="7"/>
        <v>0</v>
      </c>
      <c r="I52">
        <v>0</v>
      </c>
      <c r="J52">
        <v>0</v>
      </c>
      <c r="K52" s="18">
        <f t="shared" si="8"/>
        <v>620</v>
      </c>
      <c r="L52" t="str">
        <f t="shared" si="9"/>
        <v>poor</v>
      </c>
      <c r="M52" t="str">
        <f t="shared" si="10"/>
        <v>high</v>
      </c>
    </row>
    <row r="53" spans="1:13" x14ac:dyDescent="0.3">
      <c r="A53" t="s">
        <v>243</v>
      </c>
      <c r="B53" s="4">
        <v>1189</v>
      </c>
      <c r="D53" s="4">
        <v>2199</v>
      </c>
      <c r="E53" s="16">
        <f t="shared" si="6"/>
        <v>0.45929968167348795</v>
      </c>
      <c r="F53" s="7">
        <v>0.04</v>
      </c>
      <c r="G53">
        <v>-1</v>
      </c>
      <c r="H53">
        <f t="shared" si="7"/>
        <v>1</v>
      </c>
      <c r="I53" t="s">
        <v>189</v>
      </c>
      <c r="J53">
        <f>VALUE(LEFT(I53, FIND(" ", I53)-1))</f>
        <v>3</v>
      </c>
      <c r="K53" s="18">
        <f t="shared" si="8"/>
        <v>1010</v>
      </c>
      <c r="L53" t="str">
        <f t="shared" si="9"/>
        <v>Average</v>
      </c>
      <c r="M53" t="str">
        <f t="shared" si="10"/>
        <v>Low</v>
      </c>
    </row>
    <row r="54" spans="1:13" x14ac:dyDescent="0.3">
      <c r="A54" t="s">
        <v>307</v>
      </c>
      <c r="B54" s="4">
        <v>1150</v>
      </c>
      <c r="D54" s="4">
        <v>1737</v>
      </c>
      <c r="E54" s="16">
        <f t="shared" si="6"/>
        <v>0.3379389752446747</v>
      </c>
      <c r="F54" s="7">
        <v>0.49</v>
      </c>
      <c r="H54">
        <f t="shared" si="7"/>
        <v>0</v>
      </c>
      <c r="I54">
        <v>0</v>
      </c>
      <c r="J54">
        <v>0</v>
      </c>
      <c r="K54" s="18">
        <f t="shared" si="8"/>
        <v>587</v>
      </c>
      <c r="L54" t="str">
        <f t="shared" si="9"/>
        <v>poor</v>
      </c>
      <c r="M54" t="str">
        <f t="shared" si="10"/>
        <v>high</v>
      </c>
    </row>
    <row r="55" spans="1:13" x14ac:dyDescent="0.3">
      <c r="A55" t="s">
        <v>292</v>
      </c>
      <c r="B55" s="4">
        <v>1080</v>
      </c>
      <c r="D55" s="4">
        <v>1874</v>
      </c>
      <c r="E55" s="16">
        <f t="shared" si="6"/>
        <v>0.42369263607257202</v>
      </c>
      <c r="F55" s="7">
        <v>0.5</v>
      </c>
      <c r="H55">
        <f t="shared" si="7"/>
        <v>0</v>
      </c>
      <c r="I55">
        <v>0</v>
      </c>
      <c r="J55">
        <v>0</v>
      </c>
      <c r="K55" s="18">
        <f t="shared" si="8"/>
        <v>794</v>
      </c>
      <c r="L55" t="str">
        <f t="shared" si="9"/>
        <v>poor</v>
      </c>
      <c r="M55" t="str">
        <f t="shared" si="10"/>
        <v>high</v>
      </c>
    </row>
    <row r="56" spans="1:13" x14ac:dyDescent="0.3">
      <c r="A56" t="s">
        <v>209</v>
      </c>
      <c r="B56" s="4">
        <v>1000</v>
      </c>
      <c r="D56" s="4">
        <v>2000</v>
      </c>
      <c r="E56" s="16">
        <f t="shared" si="6"/>
        <v>0.5</v>
      </c>
      <c r="F56" s="7">
        <v>0.22</v>
      </c>
      <c r="G56">
        <v>-7</v>
      </c>
      <c r="H56">
        <f t="shared" si="7"/>
        <v>7</v>
      </c>
      <c r="I56" t="s">
        <v>211</v>
      </c>
      <c r="J56">
        <f>VALUE(LEFT(I56, FIND(" ", I56)-1))</f>
        <v>2.2999999999999998</v>
      </c>
      <c r="K56" s="18">
        <f t="shared" si="8"/>
        <v>1000</v>
      </c>
      <c r="L56" t="str">
        <f t="shared" si="9"/>
        <v>poor</v>
      </c>
      <c r="M56" t="str">
        <f t="shared" si="10"/>
        <v>Medium</v>
      </c>
    </row>
    <row r="57" spans="1:13" x14ac:dyDescent="0.3">
      <c r="A57" t="s">
        <v>143</v>
      </c>
      <c r="B57" s="4">
        <v>999</v>
      </c>
      <c r="D57" s="4">
        <v>2000</v>
      </c>
      <c r="E57" s="16">
        <f t="shared" si="6"/>
        <v>0.50049999999999994</v>
      </c>
      <c r="F57" s="7">
        <v>0.02</v>
      </c>
      <c r="H57">
        <f t="shared" si="7"/>
        <v>0</v>
      </c>
      <c r="I57">
        <v>0</v>
      </c>
      <c r="J57">
        <v>0</v>
      </c>
      <c r="K57" s="18">
        <f t="shared" si="8"/>
        <v>1001</v>
      </c>
      <c r="L57" t="str">
        <f t="shared" si="9"/>
        <v>poor</v>
      </c>
      <c r="M57" t="str">
        <f t="shared" si="10"/>
        <v>Low</v>
      </c>
    </row>
    <row r="58" spans="1:13" x14ac:dyDescent="0.3">
      <c r="A58" t="s">
        <v>68</v>
      </c>
      <c r="B58" s="4">
        <v>998</v>
      </c>
      <c r="D58" s="4">
        <v>1966</v>
      </c>
      <c r="E58" s="16">
        <f t="shared" si="6"/>
        <v>0.49237029501525942</v>
      </c>
      <c r="F58" s="7">
        <v>0.49</v>
      </c>
      <c r="G58">
        <v>-44</v>
      </c>
      <c r="H58">
        <f t="shared" si="7"/>
        <v>44</v>
      </c>
      <c r="I58" t="s">
        <v>17</v>
      </c>
      <c r="J58">
        <f t="shared" ref="J58:J65" si="11">VALUE(LEFT(I58, FIND(" ", I58)-1))</f>
        <v>4.5999999999999996</v>
      </c>
      <c r="K58" s="18">
        <f t="shared" si="8"/>
        <v>968</v>
      </c>
      <c r="L58" t="str">
        <f t="shared" si="9"/>
        <v>Excellent</v>
      </c>
      <c r="M58" t="str">
        <f t="shared" si="10"/>
        <v>high</v>
      </c>
    </row>
    <row r="59" spans="1:13" x14ac:dyDescent="0.3">
      <c r="A59" t="s">
        <v>206</v>
      </c>
      <c r="B59" s="4">
        <v>990</v>
      </c>
      <c r="D59" s="4">
        <v>1814</v>
      </c>
      <c r="E59" s="16">
        <f t="shared" si="6"/>
        <v>0.45424476295479604</v>
      </c>
      <c r="F59" s="7">
        <v>0.52</v>
      </c>
      <c r="G59">
        <v>-6</v>
      </c>
      <c r="H59">
        <f t="shared" si="7"/>
        <v>6</v>
      </c>
      <c r="I59" t="s">
        <v>208</v>
      </c>
      <c r="J59">
        <f t="shared" si="11"/>
        <v>2.2000000000000002</v>
      </c>
      <c r="K59" s="18">
        <f t="shared" si="8"/>
        <v>824</v>
      </c>
      <c r="L59" t="str">
        <f t="shared" si="9"/>
        <v>poor</v>
      </c>
      <c r="M59" t="str">
        <f t="shared" si="10"/>
        <v>high</v>
      </c>
    </row>
    <row r="60" spans="1:13" x14ac:dyDescent="0.3">
      <c r="A60" t="s">
        <v>44</v>
      </c>
      <c r="B60" s="4">
        <v>990</v>
      </c>
      <c r="D60" s="4">
        <v>1500</v>
      </c>
      <c r="E60" s="16">
        <f t="shared" si="6"/>
        <v>0.34</v>
      </c>
      <c r="F60" s="7">
        <v>0.34</v>
      </c>
      <c r="G60">
        <v>-39</v>
      </c>
      <c r="H60">
        <f t="shared" si="7"/>
        <v>39</v>
      </c>
      <c r="I60" t="s">
        <v>21</v>
      </c>
      <c r="J60">
        <f t="shared" si="11"/>
        <v>4.7</v>
      </c>
      <c r="K60" s="18">
        <f t="shared" si="8"/>
        <v>510</v>
      </c>
      <c r="L60" t="str">
        <f t="shared" si="9"/>
        <v>Excellent</v>
      </c>
      <c r="M60" t="str">
        <f t="shared" si="10"/>
        <v>Medium</v>
      </c>
    </row>
    <row r="61" spans="1:13" x14ac:dyDescent="0.3">
      <c r="A61" t="s">
        <v>33</v>
      </c>
      <c r="B61" s="4">
        <v>988</v>
      </c>
      <c r="D61" s="4">
        <v>1580</v>
      </c>
      <c r="E61" s="16">
        <f t="shared" si="6"/>
        <v>0.37468354430379747</v>
      </c>
      <c r="F61" s="7">
        <v>0.37</v>
      </c>
      <c r="G61">
        <v>-2</v>
      </c>
      <c r="H61">
        <f t="shared" si="7"/>
        <v>2</v>
      </c>
      <c r="I61" t="s">
        <v>29</v>
      </c>
      <c r="J61">
        <f t="shared" si="11"/>
        <v>4</v>
      </c>
      <c r="K61" s="18">
        <f t="shared" si="8"/>
        <v>592</v>
      </c>
      <c r="L61" t="str">
        <f t="shared" si="9"/>
        <v>Average</v>
      </c>
      <c r="M61" t="str">
        <f t="shared" si="10"/>
        <v>Medium</v>
      </c>
    </row>
    <row r="62" spans="1:13" x14ac:dyDescent="0.3">
      <c r="A62" t="s">
        <v>105</v>
      </c>
      <c r="B62" s="4">
        <v>980</v>
      </c>
      <c r="D62" s="4">
        <v>1490</v>
      </c>
      <c r="E62" s="16">
        <f t="shared" si="6"/>
        <v>0.34228187919463088</v>
      </c>
      <c r="F62" s="7">
        <v>0.34</v>
      </c>
      <c r="G62">
        <v>-12</v>
      </c>
      <c r="H62">
        <f t="shared" si="7"/>
        <v>12</v>
      </c>
      <c r="I62" t="s">
        <v>21</v>
      </c>
      <c r="J62">
        <f t="shared" si="11"/>
        <v>4.7</v>
      </c>
      <c r="K62" s="18">
        <f t="shared" si="8"/>
        <v>510</v>
      </c>
      <c r="L62" t="str">
        <f t="shared" si="9"/>
        <v>Excellent</v>
      </c>
      <c r="M62" t="str">
        <f t="shared" si="10"/>
        <v>Medium</v>
      </c>
    </row>
    <row r="63" spans="1:13" x14ac:dyDescent="0.3">
      <c r="A63" t="s">
        <v>245</v>
      </c>
      <c r="B63" s="4">
        <v>979</v>
      </c>
      <c r="D63" s="4">
        <v>1920</v>
      </c>
      <c r="E63" s="16">
        <f t="shared" si="6"/>
        <v>0.49010416666666667</v>
      </c>
      <c r="F63" s="7">
        <v>0.49</v>
      </c>
      <c r="G63">
        <v>-1</v>
      </c>
      <c r="H63">
        <f t="shared" si="7"/>
        <v>1</v>
      </c>
      <c r="I63" t="s">
        <v>59</v>
      </c>
      <c r="J63">
        <f t="shared" si="11"/>
        <v>5</v>
      </c>
      <c r="K63" s="18">
        <f t="shared" si="8"/>
        <v>941</v>
      </c>
      <c r="L63" t="str">
        <f t="shared" si="9"/>
        <v>Excellent</v>
      </c>
      <c r="M63" t="str">
        <f t="shared" si="10"/>
        <v>high</v>
      </c>
    </row>
    <row r="64" spans="1:13" x14ac:dyDescent="0.3">
      <c r="A64" t="s">
        <v>227</v>
      </c>
      <c r="B64" s="4">
        <v>968</v>
      </c>
      <c r="D64" s="4">
        <v>1814</v>
      </c>
      <c r="E64" s="16">
        <f t="shared" si="6"/>
        <v>0.46637265711135611</v>
      </c>
      <c r="F64" s="7">
        <v>0.43</v>
      </c>
      <c r="G64">
        <v>-6</v>
      </c>
      <c r="H64">
        <f t="shared" si="7"/>
        <v>6</v>
      </c>
      <c r="I64" t="s">
        <v>208</v>
      </c>
      <c r="J64">
        <f t="shared" si="11"/>
        <v>2.2000000000000002</v>
      </c>
      <c r="K64" s="18">
        <f t="shared" si="8"/>
        <v>846</v>
      </c>
      <c r="L64" t="str">
        <f t="shared" si="9"/>
        <v>poor</v>
      </c>
      <c r="M64" t="str">
        <f t="shared" si="10"/>
        <v>high</v>
      </c>
    </row>
    <row r="65" spans="1:13" x14ac:dyDescent="0.3">
      <c r="A65" t="s">
        <v>6</v>
      </c>
      <c r="B65" s="4">
        <v>950</v>
      </c>
      <c r="D65" s="4">
        <v>1525</v>
      </c>
      <c r="E65" s="16">
        <f t="shared" si="6"/>
        <v>0.37704918032786883</v>
      </c>
      <c r="F65" s="7">
        <v>0.38</v>
      </c>
      <c r="G65">
        <v>-2</v>
      </c>
      <c r="H65">
        <f t="shared" si="7"/>
        <v>2</v>
      </c>
      <c r="I65" t="s">
        <v>9</v>
      </c>
      <c r="J65">
        <f t="shared" si="11"/>
        <v>4.5</v>
      </c>
      <c r="K65" s="18">
        <f t="shared" si="8"/>
        <v>575</v>
      </c>
      <c r="L65" t="str">
        <f t="shared" si="9"/>
        <v>Excellent</v>
      </c>
      <c r="M65" t="str">
        <f t="shared" si="10"/>
        <v>Medium</v>
      </c>
    </row>
    <row r="66" spans="1:13" x14ac:dyDescent="0.3">
      <c r="A66" t="s">
        <v>277</v>
      </c>
      <c r="B66" s="4">
        <v>899</v>
      </c>
      <c r="D66" s="4">
        <v>1699</v>
      </c>
      <c r="E66" s="16">
        <f t="shared" ref="E66:E97" si="12">(D66-B66)/D66</f>
        <v>0.47086521483225424</v>
      </c>
      <c r="F66" s="7">
        <v>0.14000000000000001</v>
      </c>
      <c r="H66">
        <f t="shared" ref="H66:H97" si="13">ABS(G66)</f>
        <v>0</v>
      </c>
      <c r="I66">
        <v>0</v>
      </c>
      <c r="J66">
        <v>0</v>
      </c>
      <c r="K66" s="18">
        <f t="shared" ref="K66:K97" si="14">D66-B66</f>
        <v>800</v>
      </c>
      <c r="L66" t="str">
        <f t="shared" ref="L66:L97" si="15">IF(J66&gt;=4.5,"Excellent",IF(J66&gt;=3,"Average","poor"))</f>
        <v>poor</v>
      </c>
      <c r="M66" t="str">
        <f t="shared" ref="M66:M97" si="16">IF(F66&gt;40%,"high",IF(F66&gt;20%,"Medium","Low"))</f>
        <v>Low</v>
      </c>
    </row>
    <row r="67" spans="1:13" x14ac:dyDescent="0.3">
      <c r="A67" t="s">
        <v>78</v>
      </c>
      <c r="B67" s="4">
        <v>880</v>
      </c>
      <c r="D67" s="4">
        <v>1350</v>
      </c>
      <c r="E67" s="16">
        <f t="shared" si="12"/>
        <v>0.34814814814814815</v>
      </c>
      <c r="F67" s="7">
        <v>0.35</v>
      </c>
      <c r="G67">
        <v>-6</v>
      </c>
      <c r="H67">
        <f t="shared" si="13"/>
        <v>6</v>
      </c>
      <c r="I67" t="s">
        <v>29</v>
      </c>
      <c r="J67">
        <f>VALUE(LEFT(I67, FIND(" ", I67)-1))</f>
        <v>4</v>
      </c>
      <c r="K67" s="18">
        <f t="shared" si="14"/>
        <v>470</v>
      </c>
      <c r="L67" t="str">
        <f t="shared" si="15"/>
        <v>Average</v>
      </c>
      <c r="M67" t="str">
        <f t="shared" si="16"/>
        <v>Medium</v>
      </c>
    </row>
    <row r="68" spans="1:13" x14ac:dyDescent="0.3">
      <c r="A68" t="s">
        <v>269</v>
      </c>
      <c r="B68" s="4">
        <v>850</v>
      </c>
      <c r="D68" s="4">
        <v>1700</v>
      </c>
      <c r="E68" s="16">
        <f t="shared" si="12"/>
        <v>0.5</v>
      </c>
      <c r="F68" s="7">
        <v>0.49</v>
      </c>
      <c r="H68">
        <f t="shared" si="13"/>
        <v>0</v>
      </c>
      <c r="I68">
        <v>0</v>
      </c>
      <c r="J68">
        <v>0</v>
      </c>
      <c r="K68" s="18">
        <f t="shared" si="14"/>
        <v>850</v>
      </c>
      <c r="L68" t="str">
        <f t="shared" si="15"/>
        <v>poor</v>
      </c>
      <c r="M68" t="str">
        <f t="shared" si="16"/>
        <v>high</v>
      </c>
    </row>
    <row r="69" spans="1:13" x14ac:dyDescent="0.3">
      <c r="A69" t="s">
        <v>175</v>
      </c>
      <c r="B69" s="4">
        <v>799</v>
      </c>
      <c r="D69" s="4">
        <v>1567</v>
      </c>
      <c r="E69" s="16">
        <f t="shared" si="12"/>
        <v>0.49010848755583919</v>
      </c>
      <c r="F69" s="7">
        <v>0.48</v>
      </c>
      <c r="H69">
        <f t="shared" si="13"/>
        <v>0</v>
      </c>
      <c r="I69">
        <v>0</v>
      </c>
      <c r="J69">
        <v>0</v>
      </c>
      <c r="K69" s="18">
        <f t="shared" si="14"/>
        <v>768</v>
      </c>
      <c r="L69" t="str">
        <f t="shared" si="15"/>
        <v>poor</v>
      </c>
      <c r="M69" t="str">
        <f t="shared" si="16"/>
        <v>high</v>
      </c>
    </row>
    <row r="70" spans="1:13" x14ac:dyDescent="0.3">
      <c r="A70" t="s">
        <v>261</v>
      </c>
      <c r="B70" s="4">
        <v>799</v>
      </c>
      <c r="D70" s="4">
        <v>900</v>
      </c>
      <c r="E70" s="16">
        <f t="shared" si="12"/>
        <v>0.11222222222222222</v>
      </c>
      <c r="F70" s="7">
        <v>0.42</v>
      </c>
      <c r="H70">
        <f t="shared" si="13"/>
        <v>0</v>
      </c>
      <c r="I70">
        <v>0</v>
      </c>
      <c r="J70">
        <v>0</v>
      </c>
      <c r="K70" s="18">
        <f t="shared" si="14"/>
        <v>101</v>
      </c>
      <c r="L70" t="str">
        <f t="shared" si="15"/>
        <v>poor</v>
      </c>
      <c r="M70" t="str">
        <f t="shared" si="16"/>
        <v>high</v>
      </c>
    </row>
    <row r="71" spans="1:13" x14ac:dyDescent="0.3">
      <c r="A71" t="s">
        <v>42</v>
      </c>
      <c r="B71" s="4">
        <v>799</v>
      </c>
      <c r="D71" s="4">
        <v>999</v>
      </c>
      <c r="E71" s="16">
        <f t="shared" si="12"/>
        <v>0.20020020020020021</v>
      </c>
      <c r="F71" s="7">
        <v>0.2</v>
      </c>
      <c r="G71">
        <v>-12</v>
      </c>
      <c r="H71">
        <f t="shared" si="13"/>
        <v>12</v>
      </c>
      <c r="I71" t="s">
        <v>13</v>
      </c>
      <c r="J71">
        <f>VALUE(LEFT(I71, FIND(" ", I71)-1))</f>
        <v>4.0999999999999996</v>
      </c>
      <c r="K71" s="18">
        <f t="shared" si="14"/>
        <v>200</v>
      </c>
      <c r="L71" t="str">
        <f t="shared" si="15"/>
        <v>Average</v>
      </c>
      <c r="M71" t="str">
        <f t="shared" si="16"/>
        <v>Low</v>
      </c>
    </row>
    <row r="72" spans="1:13" x14ac:dyDescent="0.3">
      <c r="A72" t="s">
        <v>168</v>
      </c>
      <c r="B72" s="4">
        <v>799</v>
      </c>
      <c r="D72" s="4">
        <v>1343</v>
      </c>
      <c r="E72" s="16">
        <f t="shared" si="12"/>
        <v>0.4050632911392405</v>
      </c>
      <c r="F72" s="7">
        <v>0.03</v>
      </c>
      <c r="H72">
        <f t="shared" si="13"/>
        <v>0</v>
      </c>
      <c r="I72">
        <v>0</v>
      </c>
      <c r="J72">
        <v>0</v>
      </c>
      <c r="K72" s="18">
        <f t="shared" si="14"/>
        <v>544</v>
      </c>
      <c r="L72" t="str">
        <f t="shared" si="15"/>
        <v>poor</v>
      </c>
      <c r="M72" t="str">
        <f t="shared" si="16"/>
        <v>Low</v>
      </c>
    </row>
    <row r="73" spans="1:13" x14ac:dyDescent="0.3">
      <c r="A73" t="s">
        <v>232</v>
      </c>
      <c r="B73" s="4">
        <v>790</v>
      </c>
      <c r="D73" s="4">
        <v>1485</v>
      </c>
      <c r="E73" s="16">
        <f t="shared" si="12"/>
        <v>0.46801346801346799</v>
      </c>
      <c r="F73" s="7">
        <v>0.47</v>
      </c>
      <c r="H73">
        <f t="shared" si="13"/>
        <v>0</v>
      </c>
      <c r="I73">
        <v>0</v>
      </c>
      <c r="J73">
        <v>0</v>
      </c>
      <c r="K73" s="18">
        <f t="shared" si="14"/>
        <v>695</v>
      </c>
      <c r="L73" t="str">
        <f t="shared" si="15"/>
        <v>poor</v>
      </c>
      <c r="M73" t="str">
        <f t="shared" si="16"/>
        <v>high</v>
      </c>
    </row>
    <row r="74" spans="1:13" x14ac:dyDescent="0.3">
      <c r="A74" t="s">
        <v>173</v>
      </c>
      <c r="B74" s="4">
        <v>699</v>
      </c>
      <c r="D74" s="4">
        <v>1343</v>
      </c>
      <c r="E74" s="16">
        <f t="shared" si="12"/>
        <v>0.47952345495160087</v>
      </c>
      <c r="F74" s="7">
        <v>0.45</v>
      </c>
      <c r="H74">
        <f t="shared" si="13"/>
        <v>0</v>
      </c>
      <c r="I74">
        <v>0</v>
      </c>
      <c r="J74">
        <v>0</v>
      </c>
      <c r="K74" s="18">
        <f t="shared" si="14"/>
        <v>644</v>
      </c>
      <c r="L74" t="str">
        <f t="shared" si="15"/>
        <v>poor</v>
      </c>
      <c r="M74" t="str">
        <f t="shared" si="16"/>
        <v>high</v>
      </c>
    </row>
    <row r="75" spans="1:13" x14ac:dyDescent="0.3">
      <c r="A75" t="s">
        <v>235</v>
      </c>
      <c r="B75" s="4">
        <v>690</v>
      </c>
      <c r="D75" s="4">
        <v>1200</v>
      </c>
      <c r="E75" s="16">
        <f t="shared" si="12"/>
        <v>0.42499999999999999</v>
      </c>
      <c r="F75" s="7">
        <v>0.47</v>
      </c>
      <c r="H75">
        <f t="shared" si="13"/>
        <v>0</v>
      </c>
      <c r="I75">
        <v>0</v>
      </c>
      <c r="J75">
        <v>0</v>
      </c>
      <c r="K75" s="18">
        <f t="shared" si="14"/>
        <v>510</v>
      </c>
      <c r="L75" t="str">
        <f t="shared" si="15"/>
        <v>poor</v>
      </c>
      <c r="M75" t="str">
        <f t="shared" si="16"/>
        <v>high</v>
      </c>
    </row>
    <row r="76" spans="1:13" x14ac:dyDescent="0.3">
      <c r="A76" t="s">
        <v>148</v>
      </c>
      <c r="B76" s="4">
        <v>671</v>
      </c>
      <c r="D76" s="4">
        <v>1316</v>
      </c>
      <c r="E76" s="16">
        <f t="shared" si="12"/>
        <v>0.49012158054711247</v>
      </c>
      <c r="F76" s="7">
        <v>0.33</v>
      </c>
      <c r="H76">
        <f t="shared" si="13"/>
        <v>0</v>
      </c>
      <c r="I76">
        <v>0</v>
      </c>
      <c r="J76">
        <v>0</v>
      </c>
      <c r="K76" s="18">
        <f t="shared" si="14"/>
        <v>645</v>
      </c>
      <c r="L76" t="str">
        <f t="shared" si="15"/>
        <v>poor</v>
      </c>
      <c r="M76" t="str">
        <f t="shared" si="16"/>
        <v>Medium</v>
      </c>
    </row>
    <row r="77" spans="1:13" x14ac:dyDescent="0.3">
      <c r="A77" t="s">
        <v>266</v>
      </c>
      <c r="B77" s="4">
        <v>630</v>
      </c>
      <c r="D77" s="4">
        <v>1100</v>
      </c>
      <c r="E77" s="16">
        <f t="shared" si="12"/>
        <v>0.42727272727272725</v>
      </c>
      <c r="F77" s="7">
        <v>0.14000000000000001</v>
      </c>
      <c r="H77">
        <f t="shared" si="13"/>
        <v>0</v>
      </c>
      <c r="I77">
        <v>0</v>
      </c>
      <c r="J77">
        <v>0</v>
      </c>
      <c r="K77" s="18">
        <f t="shared" si="14"/>
        <v>470</v>
      </c>
      <c r="L77" t="str">
        <f t="shared" si="15"/>
        <v>poor</v>
      </c>
      <c r="M77" t="str">
        <f t="shared" si="16"/>
        <v>Low</v>
      </c>
    </row>
    <row r="78" spans="1:13" x14ac:dyDescent="0.3">
      <c r="A78" t="s">
        <v>137</v>
      </c>
      <c r="B78" s="4">
        <v>610</v>
      </c>
      <c r="D78" s="4">
        <v>1060</v>
      </c>
      <c r="E78" s="16">
        <f t="shared" si="12"/>
        <v>0.42452830188679247</v>
      </c>
      <c r="F78" s="7">
        <v>0.42</v>
      </c>
      <c r="H78">
        <f t="shared" si="13"/>
        <v>0</v>
      </c>
      <c r="I78">
        <v>0</v>
      </c>
      <c r="J78">
        <v>0</v>
      </c>
      <c r="K78" s="18">
        <f t="shared" si="14"/>
        <v>450</v>
      </c>
      <c r="L78" t="str">
        <f t="shared" si="15"/>
        <v>poor</v>
      </c>
      <c r="M78" t="str">
        <f t="shared" si="16"/>
        <v>high</v>
      </c>
    </row>
    <row r="79" spans="1:13" x14ac:dyDescent="0.3">
      <c r="A79" t="s">
        <v>47</v>
      </c>
      <c r="B79" s="4">
        <v>552</v>
      </c>
      <c r="D79" s="4">
        <v>1035</v>
      </c>
      <c r="E79" s="16">
        <f t="shared" si="12"/>
        <v>0.46666666666666667</v>
      </c>
      <c r="F79" s="7">
        <v>0.47</v>
      </c>
      <c r="G79">
        <v>-12</v>
      </c>
      <c r="H79">
        <f t="shared" si="13"/>
        <v>12</v>
      </c>
      <c r="I79" t="s">
        <v>25</v>
      </c>
      <c r="J79">
        <f>VALUE(LEFT(I79, FIND(" ", I79)-1))</f>
        <v>4.8</v>
      </c>
      <c r="K79" s="18">
        <f t="shared" si="14"/>
        <v>483</v>
      </c>
      <c r="L79" t="str">
        <f t="shared" si="15"/>
        <v>Excellent</v>
      </c>
      <c r="M79" t="str">
        <f t="shared" si="16"/>
        <v>high</v>
      </c>
    </row>
    <row r="80" spans="1:13" x14ac:dyDescent="0.3">
      <c r="A80" t="s">
        <v>10</v>
      </c>
      <c r="B80" s="4">
        <v>527</v>
      </c>
      <c r="D80" s="4">
        <v>999</v>
      </c>
      <c r="E80" s="16">
        <f t="shared" si="12"/>
        <v>0.47247247247247248</v>
      </c>
      <c r="F80" s="7">
        <v>0.47</v>
      </c>
      <c r="G80">
        <v>-14</v>
      </c>
      <c r="H80">
        <f t="shared" si="13"/>
        <v>14</v>
      </c>
      <c r="I80" t="s">
        <v>13</v>
      </c>
      <c r="J80">
        <f>VALUE(LEFT(I80, FIND(" ", I80)-1))</f>
        <v>4.0999999999999996</v>
      </c>
      <c r="K80" s="18">
        <f t="shared" si="14"/>
        <v>472</v>
      </c>
      <c r="L80" t="str">
        <f t="shared" si="15"/>
        <v>Average</v>
      </c>
      <c r="M80" t="str">
        <f t="shared" si="16"/>
        <v>high</v>
      </c>
    </row>
    <row r="81" spans="1:13" x14ac:dyDescent="0.3">
      <c r="A81" t="s">
        <v>289</v>
      </c>
      <c r="B81" s="4">
        <v>525</v>
      </c>
      <c r="D81" s="4">
        <v>1029</v>
      </c>
      <c r="E81" s="16">
        <f t="shared" si="12"/>
        <v>0.48979591836734693</v>
      </c>
      <c r="F81" s="7">
        <v>0.47</v>
      </c>
      <c r="H81">
        <f t="shared" si="13"/>
        <v>0</v>
      </c>
      <c r="I81">
        <v>0</v>
      </c>
      <c r="J81">
        <v>0</v>
      </c>
      <c r="K81" s="18">
        <f t="shared" si="14"/>
        <v>504</v>
      </c>
      <c r="L81" t="str">
        <f t="shared" si="15"/>
        <v>poor</v>
      </c>
      <c r="M81" t="str">
        <f t="shared" si="16"/>
        <v>high</v>
      </c>
    </row>
    <row r="82" spans="1:13" x14ac:dyDescent="0.3">
      <c r="A82" t="s">
        <v>224</v>
      </c>
      <c r="B82" s="4">
        <v>509</v>
      </c>
      <c r="D82" s="4">
        <v>899</v>
      </c>
      <c r="E82" s="16">
        <f t="shared" si="12"/>
        <v>0.43381535038932145</v>
      </c>
      <c r="F82" s="7">
        <v>0.28999999999999998</v>
      </c>
      <c r="G82">
        <v>-5</v>
      </c>
      <c r="H82">
        <f t="shared" si="13"/>
        <v>5</v>
      </c>
      <c r="I82" t="s">
        <v>189</v>
      </c>
      <c r="J82">
        <f>VALUE(LEFT(I82, FIND(" ", I82)-1))</f>
        <v>3</v>
      </c>
      <c r="K82" s="18">
        <f t="shared" si="14"/>
        <v>390</v>
      </c>
      <c r="L82" t="str">
        <f t="shared" si="15"/>
        <v>Average</v>
      </c>
      <c r="M82" t="str">
        <f t="shared" si="16"/>
        <v>Medium</v>
      </c>
    </row>
    <row r="83" spans="1:13" x14ac:dyDescent="0.3">
      <c r="A83" t="s">
        <v>50</v>
      </c>
      <c r="B83" s="4">
        <v>501</v>
      </c>
      <c r="D83" s="4">
        <v>860</v>
      </c>
      <c r="E83" s="16">
        <f t="shared" si="12"/>
        <v>0.41744186046511628</v>
      </c>
      <c r="F83" s="7">
        <v>0.42</v>
      </c>
      <c r="G83">
        <v>-6</v>
      </c>
      <c r="H83">
        <f t="shared" si="13"/>
        <v>6</v>
      </c>
      <c r="I83" t="s">
        <v>9</v>
      </c>
      <c r="J83">
        <f>VALUE(LEFT(I83, FIND(" ", I83)-1))</f>
        <v>4.5</v>
      </c>
      <c r="K83" s="18">
        <f t="shared" si="14"/>
        <v>359</v>
      </c>
      <c r="L83" t="str">
        <f t="shared" si="15"/>
        <v>Excellent</v>
      </c>
      <c r="M83" t="str">
        <f t="shared" si="16"/>
        <v>high</v>
      </c>
    </row>
    <row r="84" spans="1:13" x14ac:dyDescent="0.3">
      <c r="A84" t="s">
        <v>170</v>
      </c>
      <c r="B84" s="4">
        <v>499</v>
      </c>
      <c r="D84" s="4">
        <v>900</v>
      </c>
      <c r="E84" s="16">
        <f t="shared" si="12"/>
        <v>0.44555555555555554</v>
      </c>
      <c r="F84" s="7">
        <v>0.41</v>
      </c>
      <c r="H84">
        <f t="shared" si="13"/>
        <v>0</v>
      </c>
      <c r="I84">
        <v>0</v>
      </c>
      <c r="J84">
        <v>0</v>
      </c>
      <c r="K84" s="18">
        <f t="shared" si="14"/>
        <v>401</v>
      </c>
      <c r="L84" t="str">
        <f t="shared" si="15"/>
        <v>poor</v>
      </c>
      <c r="M84" t="str">
        <f t="shared" si="16"/>
        <v>high</v>
      </c>
    </row>
    <row r="85" spans="1:13" x14ac:dyDescent="0.3">
      <c r="A85" t="s">
        <v>131</v>
      </c>
      <c r="B85" s="4">
        <v>475</v>
      </c>
      <c r="D85" s="4">
        <v>931</v>
      </c>
      <c r="E85" s="16">
        <f t="shared" si="12"/>
        <v>0.48979591836734693</v>
      </c>
      <c r="F85" s="7">
        <v>0.49</v>
      </c>
      <c r="H85">
        <f t="shared" si="13"/>
        <v>0</v>
      </c>
      <c r="I85">
        <v>0</v>
      </c>
      <c r="J85">
        <v>0</v>
      </c>
      <c r="K85" s="18">
        <f t="shared" si="14"/>
        <v>456</v>
      </c>
      <c r="L85" t="str">
        <f t="shared" si="15"/>
        <v>poor</v>
      </c>
      <c r="M85" t="str">
        <f t="shared" si="16"/>
        <v>high</v>
      </c>
    </row>
    <row r="86" spans="1:13" x14ac:dyDescent="0.3">
      <c r="A86" t="s">
        <v>186</v>
      </c>
      <c r="B86" s="4">
        <v>458</v>
      </c>
      <c r="D86" s="4">
        <v>986</v>
      </c>
      <c r="E86" s="16">
        <f t="shared" si="12"/>
        <v>0.53549695740365111</v>
      </c>
      <c r="F86" s="7">
        <v>0.55000000000000004</v>
      </c>
      <c r="G86">
        <v>-1</v>
      </c>
      <c r="H86">
        <f t="shared" si="13"/>
        <v>1</v>
      </c>
      <c r="I86" t="s">
        <v>189</v>
      </c>
      <c r="J86">
        <f t="shared" ref="J86:J95" si="17">VALUE(LEFT(I86, FIND(" ", I86)-1))</f>
        <v>3</v>
      </c>
      <c r="K86" s="18">
        <f t="shared" si="14"/>
        <v>528</v>
      </c>
      <c r="L86" t="str">
        <f t="shared" si="15"/>
        <v>Average</v>
      </c>
      <c r="M86" t="str">
        <f t="shared" si="16"/>
        <v>high</v>
      </c>
    </row>
    <row r="87" spans="1:13" x14ac:dyDescent="0.3">
      <c r="A87" t="s">
        <v>318</v>
      </c>
      <c r="B87" s="4">
        <v>450</v>
      </c>
      <c r="D87" s="4">
        <v>900</v>
      </c>
      <c r="E87" s="16">
        <f t="shared" si="12"/>
        <v>0.5</v>
      </c>
      <c r="F87" s="7">
        <v>0.24</v>
      </c>
      <c r="G87">
        <v>-1</v>
      </c>
      <c r="H87">
        <f t="shared" si="13"/>
        <v>1</v>
      </c>
      <c r="I87" t="s">
        <v>319</v>
      </c>
      <c r="J87">
        <f t="shared" si="17"/>
        <v>2</v>
      </c>
      <c r="K87" s="18">
        <f t="shared" si="14"/>
        <v>450</v>
      </c>
      <c r="L87" t="str">
        <f t="shared" si="15"/>
        <v>poor</v>
      </c>
      <c r="M87" t="str">
        <f t="shared" si="16"/>
        <v>Medium</v>
      </c>
    </row>
    <row r="88" spans="1:13" x14ac:dyDescent="0.3">
      <c r="A88" t="s">
        <v>194</v>
      </c>
      <c r="B88" s="4">
        <v>445</v>
      </c>
      <c r="D88" s="4">
        <v>873</v>
      </c>
      <c r="E88" s="16">
        <f t="shared" si="12"/>
        <v>0.49026345933562426</v>
      </c>
      <c r="F88" s="7">
        <v>0.54</v>
      </c>
      <c r="G88">
        <v>-69</v>
      </c>
      <c r="H88">
        <f t="shared" si="13"/>
        <v>69</v>
      </c>
      <c r="I88" t="s">
        <v>197</v>
      </c>
      <c r="J88">
        <f t="shared" si="17"/>
        <v>2.8</v>
      </c>
      <c r="K88" s="18">
        <f t="shared" si="14"/>
        <v>428</v>
      </c>
      <c r="L88" t="str">
        <f t="shared" si="15"/>
        <v>poor</v>
      </c>
      <c r="M88" t="str">
        <f t="shared" si="16"/>
        <v>high</v>
      </c>
    </row>
    <row r="89" spans="1:13" x14ac:dyDescent="0.3">
      <c r="A89" t="s">
        <v>89</v>
      </c>
      <c r="B89" s="4">
        <v>420</v>
      </c>
      <c r="D89" s="4">
        <v>647</v>
      </c>
      <c r="E89" s="16">
        <f t="shared" si="12"/>
        <v>0.3508500772797527</v>
      </c>
      <c r="F89" s="7">
        <v>0.35</v>
      </c>
      <c r="G89">
        <v>-49</v>
      </c>
      <c r="H89">
        <f t="shared" si="13"/>
        <v>49</v>
      </c>
      <c r="I89" t="s">
        <v>17</v>
      </c>
      <c r="J89">
        <f t="shared" si="17"/>
        <v>4.5999999999999996</v>
      </c>
      <c r="K89" s="18">
        <f t="shared" si="14"/>
        <v>227</v>
      </c>
      <c r="L89" t="str">
        <f t="shared" si="15"/>
        <v>Excellent</v>
      </c>
      <c r="M89" t="str">
        <f t="shared" si="16"/>
        <v>Medium</v>
      </c>
    </row>
    <row r="90" spans="1:13" x14ac:dyDescent="0.3">
      <c r="A90" t="s">
        <v>122</v>
      </c>
      <c r="B90" s="4">
        <v>389</v>
      </c>
      <c r="D90" s="4">
        <v>656</v>
      </c>
      <c r="E90" s="16">
        <f t="shared" si="12"/>
        <v>0.40701219512195119</v>
      </c>
      <c r="F90" s="7">
        <v>0.41</v>
      </c>
      <c r="G90">
        <v>-36</v>
      </c>
      <c r="H90">
        <f t="shared" si="13"/>
        <v>36</v>
      </c>
      <c r="I90" t="s">
        <v>88</v>
      </c>
      <c r="J90">
        <f t="shared" si="17"/>
        <v>4.3</v>
      </c>
      <c r="K90" s="18">
        <f t="shared" si="14"/>
        <v>267</v>
      </c>
      <c r="L90" t="str">
        <f t="shared" si="15"/>
        <v>Average</v>
      </c>
      <c r="M90" t="str">
        <f t="shared" si="16"/>
        <v>high</v>
      </c>
    </row>
    <row r="91" spans="1:13" x14ac:dyDescent="0.3">
      <c r="A91" t="s">
        <v>215</v>
      </c>
      <c r="B91" s="4">
        <v>382</v>
      </c>
      <c r="D91" s="4">
        <v>700</v>
      </c>
      <c r="E91" s="16">
        <f t="shared" si="12"/>
        <v>0.45428571428571429</v>
      </c>
      <c r="F91" s="7">
        <v>0.5</v>
      </c>
      <c r="G91">
        <v>-17</v>
      </c>
      <c r="H91">
        <f t="shared" si="13"/>
        <v>17</v>
      </c>
      <c r="I91" t="s">
        <v>217</v>
      </c>
      <c r="J91">
        <f t="shared" si="17"/>
        <v>2.6</v>
      </c>
      <c r="K91" s="18">
        <f t="shared" si="14"/>
        <v>318</v>
      </c>
      <c r="L91" t="str">
        <f t="shared" si="15"/>
        <v>poor</v>
      </c>
      <c r="M91" t="str">
        <f t="shared" si="16"/>
        <v>high</v>
      </c>
    </row>
    <row r="92" spans="1:13" x14ac:dyDescent="0.3">
      <c r="A92" t="s">
        <v>221</v>
      </c>
      <c r="B92" s="4">
        <v>345</v>
      </c>
      <c r="D92" s="4">
        <v>602</v>
      </c>
      <c r="E92" s="16">
        <f t="shared" si="12"/>
        <v>0.42691029900332228</v>
      </c>
      <c r="F92" s="7">
        <v>0.45</v>
      </c>
      <c r="G92">
        <v>-6</v>
      </c>
      <c r="H92">
        <f t="shared" si="13"/>
        <v>6</v>
      </c>
      <c r="I92" t="s">
        <v>211</v>
      </c>
      <c r="J92">
        <f t="shared" si="17"/>
        <v>2.2999999999999998</v>
      </c>
      <c r="K92" s="18">
        <f t="shared" si="14"/>
        <v>257</v>
      </c>
      <c r="L92" t="str">
        <f t="shared" si="15"/>
        <v>poor</v>
      </c>
      <c r="M92" t="str">
        <f t="shared" si="16"/>
        <v>high</v>
      </c>
    </row>
    <row r="93" spans="1:13" x14ac:dyDescent="0.3">
      <c r="A93" t="s">
        <v>56</v>
      </c>
      <c r="B93" s="4">
        <v>332</v>
      </c>
      <c r="D93" s="4">
        <v>684</v>
      </c>
      <c r="E93" s="16">
        <f t="shared" si="12"/>
        <v>0.51461988304093564</v>
      </c>
      <c r="F93" s="7">
        <v>0.51</v>
      </c>
      <c r="G93">
        <v>-2</v>
      </c>
      <c r="H93">
        <f t="shared" si="13"/>
        <v>2</v>
      </c>
      <c r="I93" t="s">
        <v>59</v>
      </c>
      <c r="J93">
        <f t="shared" si="17"/>
        <v>5</v>
      </c>
      <c r="K93" s="18">
        <f t="shared" si="14"/>
        <v>352</v>
      </c>
      <c r="L93" t="str">
        <f t="shared" si="15"/>
        <v>Excellent</v>
      </c>
      <c r="M93" t="str">
        <f t="shared" si="16"/>
        <v>high</v>
      </c>
    </row>
    <row r="94" spans="1:13" x14ac:dyDescent="0.3">
      <c r="A94" t="s">
        <v>253</v>
      </c>
      <c r="B94" s="4">
        <v>330</v>
      </c>
      <c r="D94" s="4">
        <v>647</v>
      </c>
      <c r="E94" s="16">
        <f t="shared" si="12"/>
        <v>0.48995363214837712</v>
      </c>
      <c r="F94" s="7">
        <v>0.36</v>
      </c>
      <c r="G94">
        <v>-1</v>
      </c>
      <c r="H94">
        <f t="shared" si="13"/>
        <v>1</v>
      </c>
      <c r="I94" t="s">
        <v>29</v>
      </c>
      <c r="J94">
        <f t="shared" si="17"/>
        <v>4</v>
      </c>
      <c r="K94" s="18">
        <f t="shared" si="14"/>
        <v>317</v>
      </c>
      <c r="L94" t="str">
        <f t="shared" si="15"/>
        <v>Average</v>
      </c>
      <c r="M94" t="str">
        <f t="shared" si="16"/>
        <v>Medium</v>
      </c>
    </row>
    <row r="95" spans="1:13" x14ac:dyDescent="0.3">
      <c r="A95" t="s">
        <v>198</v>
      </c>
      <c r="B95" s="4">
        <v>325</v>
      </c>
      <c r="D95" s="4">
        <v>680</v>
      </c>
      <c r="E95" s="16">
        <f t="shared" si="12"/>
        <v>0.5220588235294118</v>
      </c>
      <c r="F95" s="7">
        <v>0.55000000000000004</v>
      </c>
      <c r="G95">
        <v>-15</v>
      </c>
      <c r="H95">
        <f t="shared" si="13"/>
        <v>15</v>
      </c>
      <c r="I95" t="s">
        <v>201</v>
      </c>
      <c r="J95">
        <f t="shared" si="17"/>
        <v>2.7</v>
      </c>
      <c r="K95" s="18">
        <f t="shared" si="14"/>
        <v>355</v>
      </c>
      <c r="L95" t="str">
        <f t="shared" si="15"/>
        <v>poor</v>
      </c>
      <c r="M95" t="str">
        <f t="shared" si="16"/>
        <v>high</v>
      </c>
    </row>
    <row r="96" spans="1:13" x14ac:dyDescent="0.3">
      <c r="A96" t="s">
        <v>157</v>
      </c>
      <c r="B96" s="4">
        <v>299</v>
      </c>
      <c r="D96" s="4">
        <v>600</v>
      </c>
      <c r="E96" s="16">
        <f t="shared" si="12"/>
        <v>0.50166666666666671</v>
      </c>
      <c r="F96" s="7">
        <v>0.61</v>
      </c>
      <c r="H96">
        <f t="shared" si="13"/>
        <v>0</v>
      </c>
      <c r="I96">
        <v>0</v>
      </c>
      <c r="J96">
        <v>0</v>
      </c>
      <c r="K96" s="18">
        <f t="shared" si="14"/>
        <v>301</v>
      </c>
      <c r="L96" t="str">
        <f t="shared" si="15"/>
        <v>poor</v>
      </c>
      <c r="M96" t="str">
        <f t="shared" si="16"/>
        <v>high</v>
      </c>
    </row>
    <row r="97" spans="1:13" x14ac:dyDescent="0.3">
      <c r="A97" t="s">
        <v>163</v>
      </c>
      <c r="B97" s="4">
        <v>299</v>
      </c>
      <c r="D97" s="4">
        <v>384</v>
      </c>
      <c r="E97" s="16">
        <f t="shared" si="12"/>
        <v>0.22135416666666666</v>
      </c>
      <c r="F97" s="7">
        <v>0.02</v>
      </c>
      <c r="H97">
        <f t="shared" si="13"/>
        <v>0</v>
      </c>
      <c r="I97">
        <v>0</v>
      </c>
      <c r="J97">
        <v>0</v>
      </c>
      <c r="K97" s="18">
        <f t="shared" si="14"/>
        <v>85</v>
      </c>
      <c r="L97" t="str">
        <f t="shared" si="15"/>
        <v>poor</v>
      </c>
      <c r="M97" t="str">
        <f t="shared" si="16"/>
        <v>Low</v>
      </c>
    </row>
    <row r="98" spans="1:13" x14ac:dyDescent="0.3">
      <c r="A98" t="s">
        <v>258</v>
      </c>
      <c r="B98" s="4">
        <v>274</v>
      </c>
      <c r="D98" s="4">
        <v>537</v>
      </c>
      <c r="E98" s="16">
        <f t="shared" ref="E98:E110" si="18">(D98-B98)/D98</f>
        <v>0.48975791433891991</v>
      </c>
      <c r="F98" s="7">
        <v>0.49</v>
      </c>
      <c r="H98">
        <f t="shared" ref="H98:H110" si="19">ABS(G98)</f>
        <v>0</v>
      </c>
      <c r="I98">
        <v>0</v>
      </c>
      <c r="J98">
        <v>0</v>
      </c>
      <c r="K98" s="18">
        <f t="shared" ref="K98:K110" si="20">D98-B98</f>
        <v>263</v>
      </c>
      <c r="L98" t="str">
        <f t="shared" ref="L98:L110" si="21">IF(J98&gt;=4.5,"Excellent",IF(J98&gt;=3,"Average","poor"))</f>
        <v>poor</v>
      </c>
      <c r="M98" t="str">
        <f t="shared" ref="M98:M110" si="22">IF(F98&gt;40%,"high",IF(F98&gt;20%,"Medium","Low"))</f>
        <v>high</v>
      </c>
    </row>
    <row r="99" spans="1:13" x14ac:dyDescent="0.3">
      <c r="A99" t="s">
        <v>284</v>
      </c>
      <c r="B99" s="4">
        <v>248</v>
      </c>
      <c r="D99" s="4">
        <v>486</v>
      </c>
      <c r="E99" s="16">
        <f t="shared" si="18"/>
        <v>0.48971193415637859</v>
      </c>
      <c r="F99" s="7">
        <v>0.48</v>
      </c>
      <c r="H99">
        <f t="shared" si="19"/>
        <v>0</v>
      </c>
      <c r="I99">
        <v>0</v>
      </c>
      <c r="J99">
        <v>0</v>
      </c>
      <c r="K99" s="18">
        <f t="shared" si="20"/>
        <v>238</v>
      </c>
      <c r="L99" t="str">
        <f t="shared" si="21"/>
        <v>poor</v>
      </c>
      <c r="M99" t="str">
        <f t="shared" si="22"/>
        <v>high</v>
      </c>
    </row>
    <row r="100" spans="1:13" x14ac:dyDescent="0.3">
      <c r="A100" t="s">
        <v>134</v>
      </c>
      <c r="B100" s="4">
        <v>238</v>
      </c>
      <c r="D100" s="4">
        <v>476</v>
      </c>
      <c r="E100" s="16">
        <f t="shared" si="18"/>
        <v>0.5</v>
      </c>
      <c r="F100" s="7">
        <v>0.5</v>
      </c>
      <c r="H100">
        <f t="shared" si="19"/>
        <v>0</v>
      </c>
      <c r="I100">
        <v>0</v>
      </c>
      <c r="J100">
        <v>0</v>
      </c>
      <c r="K100" s="18">
        <f t="shared" si="20"/>
        <v>238</v>
      </c>
      <c r="L100" t="str">
        <f t="shared" si="21"/>
        <v>poor</v>
      </c>
      <c r="M100" t="str">
        <f t="shared" si="22"/>
        <v>high</v>
      </c>
    </row>
    <row r="101" spans="1:13" x14ac:dyDescent="0.3">
      <c r="A101" t="s">
        <v>240</v>
      </c>
      <c r="B101" s="4">
        <v>230</v>
      </c>
      <c r="D101" s="4">
        <v>450</v>
      </c>
      <c r="E101" s="16">
        <f t="shared" si="18"/>
        <v>0.48888888888888887</v>
      </c>
      <c r="F101" s="7">
        <v>0.43</v>
      </c>
      <c r="H101">
        <f t="shared" si="19"/>
        <v>0</v>
      </c>
      <c r="I101">
        <v>0</v>
      </c>
      <c r="J101">
        <v>0</v>
      </c>
      <c r="K101" s="18">
        <f t="shared" si="20"/>
        <v>220</v>
      </c>
      <c r="L101" t="str">
        <f t="shared" si="21"/>
        <v>poor</v>
      </c>
      <c r="M101" t="str">
        <f t="shared" si="22"/>
        <v>high</v>
      </c>
    </row>
    <row r="102" spans="1:13" x14ac:dyDescent="0.3">
      <c r="A102" t="s">
        <v>154</v>
      </c>
      <c r="B102" s="4">
        <v>199</v>
      </c>
      <c r="D102" s="4">
        <v>504</v>
      </c>
      <c r="E102" s="16">
        <f t="shared" si="18"/>
        <v>0.60515873015873012</v>
      </c>
      <c r="F102" s="7">
        <v>0.38</v>
      </c>
      <c r="H102">
        <f t="shared" si="19"/>
        <v>0</v>
      </c>
      <c r="I102">
        <v>0</v>
      </c>
      <c r="J102">
        <v>0</v>
      </c>
      <c r="K102" s="18">
        <f t="shared" si="20"/>
        <v>305</v>
      </c>
      <c r="L102" t="str">
        <f t="shared" si="21"/>
        <v>poor</v>
      </c>
      <c r="M102" t="str">
        <f t="shared" si="22"/>
        <v>Medium</v>
      </c>
    </row>
    <row r="103" spans="1:13" x14ac:dyDescent="0.3">
      <c r="A103" t="s">
        <v>316</v>
      </c>
      <c r="B103" s="4">
        <v>199</v>
      </c>
      <c r="D103" s="4">
        <v>553</v>
      </c>
      <c r="E103" s="16">
        <f t="shared" si="18"/>
        <v>0.64014466546112114</v>
      </c>
      <c r="F103" s="7">
        <v>0.01</v>
      </c>
      <c r="H103">
        <f t="shared" si="19"/>
        <v>0</v>
      </c>
      <c r="I103">
        <v>0</v>
      </c>
      <c r="J103">
        <v>0</v>
      </c>
      <c r="K103" s="18">
        <f t="shared" si="20"/>
        <v>354</v>
      </c>
      <c r="L103" t="str">
        <f t="shared" si="21"/>
        <v>poor</v>
      </c>
      <c r="M103" t="str">
        <f t="shared" si="22"/>
        <v>Low</v>
      </c>
    </row>
    <row r="104" spans="1:13" x14ac:dyDescent="0.3">
      <c r="A104" t="s">
        <v>304</v>
      </c>
      <c r="B104" s="4">
        <v>198</v>
      </c>
      <c r="D104" s="4">
        <v>260</v>
      </c>
      <c r="E104" s="16">
        <f t="shared" si="18"/>
        <v>0.23846153846153847</v>
      </c>
      <c r="F104" s="7">
        <v>0.04</v>
      </c>
      <c r="H104">
        <f t="shared" si="19"/>
        <v>0</v>
      </c>
      <c r="I104">
        <v>0</v>
      </c>
      <c r="J104">
        <v>0</v>
      </c>
      <c r="K104" s="18">
        <f t="shared" si="20"/>
        <v>62</v>
      </c>
      <c r="L104" t="str">
        <f t="shared" si="21"/>
        <v>poor</v>
      </c>
      <c r="M104" t="str">
        <f t="shared" si="22"/>
        <v>Low</v>
      </c>
    </row>
    <row r="105" spans="1:13" x14ac:dyDescent="0.3">
      <c r="A105" t="s">
        <v>60</v>
      </c>
      <c r="B105" s="4">
        <v>195</v>
      </c>
      <c r="D105" s="4">
        <v>360</v>
      </c>
      <c r="E105" s="16">
        <f t="shared" si="18"/>
        <v>0.45833333333333331</v>
      </c>
      <c r="F105" s="7">
        <v>0.46</v>
      </c>
      <c r="G105">
        <v>-2</v>
      </c>
      <c r="H105">
        <f t="shared" si="19"/>
        <v>2</v>
      </c>
      <c r="I105" t="s">
        <v>59</v>
      </c>
      <c r="J105">
        <f>VALUE(LEFT(I105, FIND(" ", I105)-1))</f>
        <v>5</v>
      </c>
      <c r="K105" s="18">
        <f t="shared" si="20"/>
        <v>165</v>
      </c>
      <c r="L105" t="str">
        <f t="shared" si="21"/>
        <v>Excellent</v>
      </c>
      <c r="M105" t="str">
        <f t="shared" si="22"/>
        <v>high</v>
      </c>
    </row>
    <row r="106" spans="1:13" x14ac:dyDescent="0.3">
      <c r="A106" t="s">
        <v>102</v>
      </c>
      <c r="B106" s="4">
        <v>185</v>
      </c>
      <c r="D106" s="4">
        <v>382</v>
      </c>
      <c r="E106" s="16">
        <f t="shared" si="18"/>
        <v>0.51570680628272247</v>
      </c>
      <c r="F106" s="7">
        <v>0.52</v>
      </c>
      <c r="G106">
        <v>-9</v>
      </c>
      <c r="H106">
        <f t="shared" si="19"/>
        <v>9</v>
      </c>
      <c r="I106" t="s">
        <v>88</v>
      </c>
      <c r="J106">
        <f>VALUE(LEFT(I106, FIND(" ", I106)-1))</f>
        <v>4.3</v>
      </c>
      <c r="K106" s="18">
        <f t="shared" si="20"/>
        <v>197</v>
      </c>
      <c r="L106" t="str">
        <f t="shared" si="21"/>
        <v>Average</v>
      </c>
      <c r="M106" t="str">
        <f t="shared" si="22"/>
        <v>high</v>
      </c>
    </row>
    <row r="107" spans="1:13" x14ac:dyDescent="0.3">
      <c r="A107" t="s">
        <v>120</v>
      </c>
      <c r="B107" s="14">
        <v>171</v>
      </c>
      <c r="D107" s="4">
        <v>360</v>
      </c>
      <c r="E107" s="16">
        <f t="shared" si="18"/>
        <v>0.52500000000000002</v>
      </c>
      <c r="F107" s="7">
        <v>0.53</v>
      </c>
      <c r="G107">
        <v>-2</v>
      </c>
      <c r="H107">
        <f t="shared" si="19"/>
        <v>2</v>
      </c>
      <c r="I107" t="s">
        <v>59</v>
      </c>
      <c r="J107">
        <f>VALUE(LEFT(I107, FIND(" ", I107)-1))</f>
        <v>5</v>
      </c>
      <c r="K107" s="18">
        <f t="shared" si="20"/>
        <v>189</v>
      </c>
      <c r="L107" t="str">
        <f t="shared" si="21"/>
        <v>Excellent</v>
      </c>
      <c r="M107" t="str">
        <f t="shared" si="22"/>
        <v>high</v>
      </c>
    </row>
    <row r="108" spans="1:13" x14ac:dyDescent="0.3">
      <c r="A108" t="s">
        <v>320</v>
      </c>
      <c r="B108" s="4">
        <v>169</v>
      </c>
      <c r="D108" s="4">
        <v>320</v>
      </c>
      <c r="E108" s="16">
        <f t="shared" si="18"/>
        <v>0.47187499999999999</v>
      </c>
      <c r="F108" s="7">
        <v>0.34</v>
      </c>
      <c r="H108">
        <f t="shared" si="19"/>
        <v>0</v>
      </c>
      <c r="I108">
        <v>0</v>
      </c>
      <c r="J108">
        <v>0</v>
      </c>
      <c r="K108" s="18">
        <f t="shared" si="20"/>
        <v>151</v>
      </c>
      <c r="L108" t="str">
        <f t="shared" si="21"/>
        <v>poor</v>
      </c>
      <c r="M108" t="str">
        <f t="shared" si="22"/>
        <v>Medium</v>
      </c>
    </row>
    <row r="109" spans="1:13" x14ac:dyDescent="0.3">
      <c r="A109" t="s">
        <v>274</v>
      </c>
      <c r="B109" s="4">
        <v>105</v>
      </c>
      <c r="D109" s="4">
        <v>200</v>
      </c>
      <c r="E109" s="16">
        <f t="shared" si="18"/>
        <v>0.47499999999999998</v>
      </c>
      <c r="F109" s="7">
        <v>0.49</v>
      </c>
      <c r="H109">
        <f t="shared" si="19"/>
        <v>0</v>
      </c>
      <c r="I109">
        <v>0</v>
      </c>
      <c r="J109">
        <v>0</v>
      </c>
      <c r="K109" s="18">
        <f t="shared" si="20"/>
        <v>95</v>
      </c>
      <c r="L109" t="str">
        <f t="shared" si="21"/>
        <v>poor</v>
      </c>
      <c r="M109" t="str">
        <f t="shared" si="22"/>
        <v>high</v>
      </c>
    </row>
    <row r="110" spans="1:13" x14ac:dyDescent="0.3">
      <c r="A110" t="s">
        <v>71</v>
      </c>
      <c r="B110" s="4">
        <v>38</v>
      </c>
      <c r="D110" s="4">
        <v>80</v>
      </c>
      <c r="E110" s="16">
        <f t="shared" si="18"/>
        <v>0.52500000000000002</v>
      </c>
      <c r="F110" s="7">
        <v>0.53</v>
      </c>
      <c r="G110">
        <v>-13</v>
      </c>
      <c r="H110">
        <f t="shared" si="19"/>
        <v>13</v>
      </c>
      <c r="I110" t="s">
        <v>74</v>
      </c>
      <c r="J110">
        <f>VALUE(LEFT(I110, FIND(" ", I110)-1))</f>
        <v>3.3</v>
      </c>
      <c r="K110" s="18">
        <f t="shared" si="20"/>
        <v>42</v>
      </c>
      <c r="L110" t="str">
        <f t="shared" si="21"/>
        <v>Average</v>
      </c>
      <c r="M110" t="str">
        <f t="shared" si="22"/>
        <v>high</v>
      </c>
    </row>
  </sheetData>
  <sortState ref="A2:M121">
    <sortCondition descending="1" ref="B1"/>
  </sortState>
  <phoneticPr fontId="18" type="noConversion"/>
  <conditionalFormatting sqref="A1:A110 A117:A1048576">
    <cfRule type="duplicateValues" dxfId="0"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U25:U26"/>
  <sheetViews>
    <sheetView topLeftCell="C34" workbookViewId="0">
      <selection activeCell="T30" sqref="T30"/>
    </sheetView>
  </sheetViews>
  <sheetFormatPr defaultRowHeight="14.4" x14ac:dyDescent="0.3"/>
  <cols>
    <col min="1" max="16384" width="8.88671875" style="22"/>
  </cols>
  <sheetData>
    <row r="25" spans="21:21" x14ac:dyDescent="0.3">
      <c r="U25" s="21"/>
    </row>
    <row r="26" spans="21:21" x14ac:dyDescent="0.3">
      <c r="U26"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FFCB-3AEE-4CDC-872C-09ADD4356FDE}">
  <dimension ref="A1:B6"/>
  <sheetViews>
    <sheetView tabSelected="1" workbookViewId="0">
      <selection activeCell="F5" sqref="F5"/>
    </sheetView>
  </sheetViews>
  <sheetFormatPr defaultRowHeight="14.4" x14ac:dyDescent="0.3"/>
  <cols>
    <col min="1" max="1" width="49.77734375" customWidth="1"/>
    <col min="2" max="2" width="69.21875" customWidth="1"/>
  </cols>
  <sheetData>
    <row r="1" spans="1:2" ht="15.6" x14ac:dyDescent="0.3">
      <c r="A1" s="24" t="s">
        <v>366</v>
      </c>
    </row>
    <row r="2" spans="1:2" s="23" customFormat="1" ht="62.4" x14ac:dyDescent="0.3">
      <c r="A2" s="27" t="s">
        <v>360</v>
      </c>
      <c r="B2" s="25" t="s">
        <v>361</v>
      </c>
    </row>
    <row r="3" spans="1:2" ht="31.2" x14ac:dyDescent="0.3">
      <c r="A3" s="24" t="s">
        <v>359</v>
      </c>
      <c r="B3" s="25" t="s">
        <v>362</v>
      </c>
    </row>
    <row r="4" spans="1:2" ht="15.6" x14ac:dyDescent="0.3">
      <c r="B4" s="26" t="s">
        <v>363</v>
      </c>
    </row>
    <row r="5" spans="1:2" ht="46.8" x14ac:dyDescent="0.3">
      <c r="B5" s="25" t="s">
        <v>364</v>
      </c>
    </row>
    <row r="6" spans="1:2" ht="19.2" customHeight="1" x14ac:dyDescent="0.3">
      <c r="B6" s="25" t="s">
        <v>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Excel_jumia</vt:lpstr>
      <vt:lpstr>Avgs</vt:lpstr>
      <vt:lpstr>disc rating</vt:lpstr>
      <vt:lpstr>avg rating_disc_category</vt:lpstr>
      <vt:lpstr>prod rating</vt:lpstr>
      <vt:lpstr>Rev_disc</vt:lpstr>
      <vt:lpstr>Max disc</vt:lpstr>
      <vt:lpstr>Min disc</vt:lpstr>
      <vt:lpstr>most reviews</vt:lpstr>
      <vt:lpstr>Top reviews</vt:lpstr>
      <vt:lpstr>bottom revws</vt:lpstr>
      <vt:lpstr>High discount comparison</vt:lpstr>
      <vt:lpstr>most expen</vt:lpstr>
      <vt:lpstr>Least expe</vt:lpstr>
      <vt:lpstr>reviews_rating</vt:lpstr>
      <vt:lpstr>Disc+customer engagement</vt:lpstr>
      <vt:lpstr>Sheet26</vt:lpstr>
      <vt:lpstr>prod_rating</vt:lpstr>
      <vt:lpstr>prod_reviews</vt:lpstr>
      <vt:lpstr>Working sheet</vt:lpstr>
      <vt:lpstr>DASHBOARD</vt:lpstr>
      <vt:lpstr>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2026-01-26T20:34:57Z</dcterms:created>
  <dcterms:modified xsi:type="dcterms:W3CDTF">2026-01-31T13:28:40Z</dcterms:modified>
</cp:coreProperties>
</file>